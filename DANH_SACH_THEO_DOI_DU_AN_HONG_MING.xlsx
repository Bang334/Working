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Dự Án 專案總覽" sheetId="1" state="visible" r:id="rId1"/>
    <sheet xmlns:r="http://schemas.openxmlformats.org/officeDocument/2006/relationships" name="Đợt Thanh Toán 款項明細" sheetId="2" state="visible" r:id="rId2"/>
    <sheet xmlns:r="http://schemas.openxmlformats.org/officeDocument/2006/relationships" name="Mua Hàng NCC 採購管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375623"/>
      <sz val="10"/>
    </font>
    <font>
      <name val="Segoe U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right"/>
    </xf>
    <xf numFmtId="3" fontId="4" fillId="3" borderId="1" pivotButton="0" quotePrefix="0" xfId="0"/>
    <xf numFmtId="164" fontId="4" fillId="3" borderId="1" applyAlignment="1" pivotButton="0" quotePrefix="0" xfId="0">
      <alignment horizont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8" customWidth="1" min="3" max="3"/>
    <col width="22" customWidth="1" min="4" max="4"/>
    <col width="13" customWidth="1" min="5" max="5"/>
    <col width="18" customWidth="1" min="6" max="6"/>
    <col width="18" customWidth="1" min="7" max="7"/>
    <col width="18" customWidth="1" min="8" max="8"/>
    <col width="12" customWidth="1" min="9" max="9"/>
    <col width="30" customWidth="1" min="10" max="10"/>
    <col width="40" customWidth="1" min="11" max="11"/>
  </cols>
  <sheetData>
    <row r="1">
      <c r="A1" s="1" t="inlineStr">
        <is>
          <t>BẢNG THEO DÕI TỔNG QUAN CÁC DỰ ÁN - CÔNG TY TNHH TOÀN CẦU HONG MING (宏明環球有限公司)</t>
        </is>
      </c>
    </row>
    <row r="2"/>
    <row r="3">
      <c r="A3" s="2" t="inlineStr">
        <is>
          <t>Mã Dự Án / HĐ
專案／合約編號</t>
        </is>
      </c>
      <c r="B3" s="2" t="inlineStr">
        <is>
          <t>Khách Hàng
客戶名稱</t>
        </is>
      </c>
      <c r="C3" s="2" t="inlineStr">
        <is>
          <t>Tên Dự Án / Hạng Mục
專案名稱／項目</t>
        </is>
      </c>
      <c r="D3" s="2" t="inlineStr">
        <is>
          <t>Kỹ Thuật Phụ Trách
技術負責人</t>
        </is>
      </c>
      <c r="E3" s="2" t="inlineStr">
        <is>
          <t>Ngày Ký HĐ
簽約日期</t>
        </is>
      </c>
      <c r="F3" s="2" t="inlineStr">
        <is>
          <t>Tổng Giá Trị (VND)
合約總金額</t>
        </is>
      </c>
      <c r="G3" s="2" t="inlineStr">
        <is>
          <t>Đã Thu (VND)
已收金額</t>
        </is>
      </c>
      <c r="H3" s="2" t="inlineStr">
        <is>
          <t>Còn Lại (VND)
未收餘額</t>
        </is>
      </c>
      <c r="I3" s="2" t="inlineStr">
        <is>
          <t>Tỷ Lệ Thu
收款進度</t>
        </is>
      </c>
      <c r="J3" s="2" t="inlineStr">
        <is>
          <t>Trạng Thái Dự Án
專案進度狀態</t>
        </is>
      </c>
      <c r="K3" s="2" t="inlineStr">
        <is>
          <t>Ghi Chú &amp; Hành Động Kế Tiếp
備註及後續工作</t>
        </is>
      </c>
    </row>
    <row r="4">
      <c r="A4" s="3" t="inlineStr">
        <is>
          <t>HMV151020250001</t>
        </is>
      </c>
      <c r="B4" s="4" t="inlineStr">
        <is>
          <t>CX Technology (VN)</t>
        </is>
      </c>
      <c r="C4" s="4" t="inlineStr">
        <is>
          <t>Dự án RFID Hardware &amp; Custom Software ERP</t>
        </is>
      </c>
      <c r="D4" s="4" t="inlineStr">
        <is>
          <t>Jenson Chang (張永吉)</t>
        </is>
      </c>
      <c r="E4" s="3" t="inlineStr">
        <is>
          <t>09/12/2025</t>
        </is>
      </c>
      <c r="F4" s="5" t="n">
        <v>234000000</v>
      </c>
      <c r="G4" s="5" t="n">
        <v>93600000</v>
      </c>
      <c r="H4" s="5">
        <f>F4-G4</f>
        <v/>
      </c>
      <c r="I4" s="6">
        <f>G4/F4</f>
        <v/>
      </c>
      <c r="J4" s="4" t="inlineStr">
        <is>
          <t>Đang nghiệm thu đưa vào sử dụng (Đợt 2 - 40%)</t>
        </is>
      </c>
      <c r="K4" s="4" t="inlineStr">
        <is>
          <t>Đã ký BB nghiệm thu 10/2026, xuất hóa đơn thu 93.600.000 đ</t>
        </is>
      </c>
    </row>
    <row r="5">
      <c r="A5" s="3" t="inlineStr">
        <is>
          <t>HMV220920260001</t>
        </is>
      </c>
      <c r="B5" s="4" t="inlineStr">
        <is>
          <t>CX Technology (VN)</t>
        </is>
      </c>
      <c r="C5" s="4" t="inlineStr">
        <is>
          <t>Cung cấp 500 thẻ RFID Silicon OPP9018</t>
        </is>
      </c>
      <c r="D5" s="4" t="inlineStr">
        <is>
          <t>Jenson Chang (張永吉)</t>
        </is>
      </c>
      <c r="E5" s="3" t="inlineStr">
        <is>
          <t>22/09/2026</t>
        </is>
      </c>
      <c r="F5" s="5" t="n">
        <v>19500000</v>
      </c>
      <c r="G5" s="5" t="n">
        <v>9750000</v>
      </c>
      <c r="H5" s="5">
        <f>F5-G5</f>
        <v/>
      </c>
      <c r="I5" s="6">
        <f>G5/F5</f>
        <v/>
      </c>
      <c r="J5" s="4" t="inlineStr">
        <is>
          <t>Đang đặt hàng NCC nước ngoài (Lead time 60 ngày)</t>
        </is>
      </c>
      <c r="K5" s="4" t="inlineStr">
        <is>
          <t>Chờ hàng về kho kiểm tra giao nhà máy CX</t>
        </is>
      </c>
    </row>
    <row r="6">
      <c r="A6" s="3" t="inlineStr">
        <is>
          <t>HMV021020260001</t>
        </is>
      </c>
      <c r="B6" s="4" t="inlineStr">
        <is>
          <t>Cheng Feng Le Hua (VN)</t>
        </is>
      </c>
      <c r="C6" s="4" t="inlineStr">
        <is>
          <t>Hạ tầng mạng kết nối máy móc toàn xưởng (IoT 1 Tỷ)</t>
        </is>
      </c>
      <c r="D6" s="4" t="inlineStr">
        <is>
          <t>Jenson Chang (張永吉)</t>
        </is>
      </c>
      <c r="E6" s="3" t="inlineStr">
        <is>
          <t>02/10/2026</t>
        </is>
      </c>
      <c r="F6" s="5" t="n">
        <v>1000000000</v>
      </c>
      <c r="G6" s="5" t="n">
        <v>300000000</v>
      </c>
      <c r="H6" s="5">
        <f>F6-G6</f>
        <v/>
      </c>
      <c r="I6" s="6">
        <f>G6/F6</f>
        <v/>
      </c>
      <c r="J6" s="4" t="inlineStr">
        <is>
          <t>Đang chuẩn bị vật tư thi công kéo cáp quang</t>
        </is>
      </c>
      <c r="K6" s="4" t="inlineStr">
        <is>
          <t>Đã nhận cọc 30%, tiến hành kéo cáp hoàn thành trước hạn 80 ngày</t>
        </is>
      </c>
    </row>
    <row r="7">
      <c r="A7" s="3" t="inlineStr">
        <is>
          <t>HM-QT-202603-V1.5</t>
        </is>
      </c>
      <c r="B7" s="4" t="inlineStr">
        <is>
          <t>Vonmax (VN) 弘聲</t>
        </is>
      </c>
      <c r="C7" s="4" t="inlineStr">
        <is>
          <t>Dự án IoT SMB Giai đoạn 2 &amp; Hệ thống Tiết kiệm Điện EMS</t>
        </is>
      </c>
      <c r="D7" s="4" t="inlineStr">
        <is>
          <t>Jenson Chang (張永吉)</t>
        </is>
      </c>
      <c r="E7" s="3" t="inlineStr">
        <is>
          <t>Chờ ký HĐ</t>
        </is>
      </c>
      <c r="F7" s="5" t="n">
        <v>450000000</v>
      </c>
      <c r="G7" s="5" t="n">
        <v>0</v>
      </c>
      <c r="H7" s="5">
        <f>F7-G7</f>
        <v/>
      </c>
      <c r="I7" s="6">
        <f>G7/F7</f>
        <v/>
      </c>
      <c r="J7" s="4" t="inlineStr">
        <is>
          <t>Đang chốt báo giá V1.5 và đàm phán hợp đồng</t>
        </is>
      </c>
      <c r="K7" s="4" t="inlineStr">
        <is>
          <t>Gửi dự thảo HĐ và xin lịch gặp sếp Hoàng &amp; Quản đốc</t>
        </is>
      </c>
    </row>
    <row r="8">
      <c r="A8" s="7" t="n"/>
      <c r="B8" s="7" t="n"/>
      <c r="C8" s="8" t="inlineStr">
        <is>
          <t>TỔNG CỘNG / 合計</t>
        </is>
      </c>
      <c r="D8" s="7" t="n"/>
      <c r="E8" s="7" t="n"/>
      <c r="F8" s="9">
        <f>SUM(F4:F7)</f>
        <v/>
      </c>
      <c r="G8" s="9">
        <f>SUM(G4:G7)</f>
        <v/>
      </c>
      <c r="H8" s="9">
        <f>SUM(H4:H7)</f>
        <v/>
      </c>
      <c r="I8" s="10">
        <f>G8/F8</f>
        <v/>
      </c>
      <c r="J8" s="7" t="n"/>
      <c r="K8" s="7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2" customWidth="1" min="4" max="4"/>
    <col width="18" customWidth="1" min="5" max="5"/>
    <col width="32" customWidth="1" min="6" max="6"/>
    <col width="16" customWidth="1" min="7" max="7"/>
    <col width="17" customWidth="1" min="8" max="8"/>
    <col width="17" customWidth="1" min="9" max="9"/>
    <col width="36" customWidth="1" min="10" max="10"/>
  </cols>
  <sheetData>
    <row r="1">
      <c r="A1" s="11" t="inlineStr">
        <is>
          <t>CHI TIẾT TIẾN ĐỘ THANH TOÁN &amp; ĐÔN ĐỐC CÔNG NỢ THEO TỪNG GIAI ĐOẠN</t>
        </is>
      </c>
    </row>
    <row r="2"/>
    <row r="3">
      <c r="A3" s="12" t="inlineStr">
        <is>
          <t>Mã Hợp Đồng</t>
        </is>
      </c>
      <c r="B3" s="12" t="inlineStr">
        <is>
          <t>Khách Hàng</t>
        </is>
      </c>
      <c r="C3" s="12" t="inlineStr">
        <is>
          <t>Đợt TT</t>
        </is>
      </c>
      <c r="D3" s="12" t="inlineStr">
        <is>
          <t>Tỷ Lệ (%)</t>
        </is>
      </c>
      <c r="E3" s="12" t="inlineStr">
        <is>
          <t>Số Tiền (VND)</t>
        </is>
      </c>
      <c r="F3" s="12" t="inlineStr">
        <is>
          <t>Điều Kiện Kích Hoạt</t>
        </is>
      </c>
      <c r="G3" s="12" t="inlineStr">
        <is>
          <t>Hạn Thanh Toán (Due Date)</t>
        </is>
      </c>
      <c r="H3" s="12" t="inlineStr">
        <is>
          <t>Số Hóa Đơn VAT</t>
        </is>
      </c>
      <c r="I3" s="12" t="inlineStr">
        <is>
          <t>Tình Trạng</t>
        </is>
      </c>
      <c r="J3" s="12" t="inlineStr">
        <is>
          <t>Hành Động Nhắc Nợ</t>
        </is>
      </c>
    </row>
    <row r="4">
      <c r="A4" s="13" t="inlineStr">
        <is>
          <t>HMV151020250001</t>
        </is>
      </c>
      <c r="B4" s="13" t="inlineStr">
        <is>
          <t>CX Technology</t>
        </is>
      </c>
      <c r="C4" s="3" t="inlineStr">
        <is>
          <t>Đợt 1</t>
        </is>
      </c>
      <c r="D4" s="3" t="inlineStr">
        <is>
          <t>40%</t>
        </is>
      </c>
      <c r="E4" s="5" t="n">
        <v>93600000</v>
      </c>
      <c r="F4" s="13" t="inlineStr">
        <is>
          <t>Ký hợp đồng</t>
        </is>
      </c>
      <c r="G4" s="3" t="inlineStr">
        <is>
          <t>15/12/2025</t>
        </is>
      </c>
      <c r="H4" s="3" t="inlineStr">
        <is>
          <t>HD-00124</t>
        </is>
      </c>
      <c r="I4" s="14" t="inlineStr">
        <is>
          <t>ĐÃ THU ĐỦ</t>
        </is>
      </c>
      <c r="J4" s="13" t="inlineStr">
        <is>
          <t>Hoàn thành</t>
        </is>
      </c>
    </row>
    <row r="5">
      <c r="A5" s="13" t="inlineStr">
        <is>
          <t>HMV151020250001</t>
        </is>
      </c>
      <c r="B5" s="13" t="inlineStr">
        <is>
          <t>CX Technology</t>
        </is>
      </c>
      <c r="C5" s="3" t="inlineStr">
        <is>
          <t>Đợt 2</t>
        </is>
      </c>
      <c r="D5" s="3" t="inlineStr">
        <is>
          <t>40%</t>
        </is>
      </c>
      <c r="E5" s="5" t="n">
        <v>93600000</v>
      </c>
      <c r="F5" s="13" t="inlineStr">
        <is>
          <t>Bàn giao đưa vào sử dụng</t>
        </is>
      </c>
      <c r="G5" s="3" t="inlineStr">
        <is>
          <t>25/10/2026</t>
        </is>
      </c>
      <c r="H5" s="3" t="inlineStr">
        <is>
          <t>HD-00189</t>
        </is>
      </c>
      <c r="I5" s="15" t="inlineStr">
        <is>
          <t>CHỜ THANH TOÁN</t>
        </is>
      </c>
      <c r="J5" s="13" t="inlineStr">
        <is>
          <t>Gửi BB nghiệm thu + Đề nghị thanh toán</t>
        </is>
      </c>
    </row>
    <row r="6">
      <c r="A6" s="13" t="inlineStr">
        <is>
          <t>HMV151020250001</t>
        </is>
      </c>
      <c r="B6" s="13" t="inlineStr">
        <is>
          <t>CX Technology</t>
        </is>
      </c>
      <c r="C6" s="3" t="inlineStr">
        <is>
          <t>Đợt 3</t>
        </is>
      </c>
      <c r="D6" s="3" t="inlineStr">
        <is>
          <t>20%</t>
        </is>
      </c>
      <c r="E6" s="5" t="n">
        <v>46800000</v>
      </c>
      <c r="F6" s="13" t="inlineStr">
        <is>
          <t>Nghiệm thu tiêu chuẩn cuối</t>
        </is>
      </c>
      <c r="G6" s="3" t="inlineStr">
        <is>
          <t>15/12/2026</t>
        </is>
      </c>
      <c r="H6" s="3" t="inlineStr">
        <is>
          <t>Chưa xuất</t>
        </is>
      </c>
      <c r="I6" s="3" t="inlineStr">
        <is>
          <t>CHƯA ĐẾN HẠN</t>
        </is>
      </c>
      <c r="J6" s="13" t="inlineStr">
        <is>
          <t>Chờ chạy thử đạt tiêu chuẩn</t>
        </is>
      </c>
    </row>
    <row r="7">
      <c r="A7" s="13" t="inlineStr">
        <is>
          <t>HMV220920260001</t>
        </is>
      </c>
      <c r="B7" s="13" t="inlineStr">
        <is>
          <t>CX Technology</t>
        </is>
      </c>
      <c r="C7" s="3" t="inlineStr">
        <is>
          <t>Đợt 1</t>
        </is>
      </c>
      <c r="D7" s="3" t="inlineStr">
        <is>
          <t>50%</t>
        </is>
      </c>
      <c r="E7" s="5" t="n">
        <v>9750000</v>
      </c>
      <c r="F7" s="13" t="inlineStr">
        <is>
          <t>Ký hợp đồng / Đặt hàng</t>
        </is>
      </c>
      <c r="G7" s="3" t="inlineStr">
        <is>
          <t>25/09/2026</t>
        </is>
      </c>
      <c r="H7" s="3" t="inlineStr">
        <is>
          <t>HD-00170</t>
        </is>
      </c>
      <c r="I7" s="14" t="inlineStr">
        <is>
          <t>ĐÃ THU ĐỦ</t>
        </is>
      </c>
      <c r="J7" s="13" t="inlineStr">
        <is>
          <t>Hoàn thành</t>
        </is>
      </c>
    </row>
    <row r="8">
      <c r="A8" s="13" t="inlineStr">
        <is>
          <t>HMV220920260001</t>
        </is>
      </c>
      <c r="B8" s="13" t="inlineStr">
        <is>
          <t>CX Technology</t>
        </is>
      </c>
      <c r="C8" s="3" t="inlineStr">
        <is>
          <t>Đợt 2</t>
        </is>
      </c>
      <c r="D8" s="3" t="inlineStr">
        <is>
          <t>50%</t>
        </is>
      </c>
      <c r="E8" s="5" t="n">
        <v>9750000</v>
      </c>
      <c r="F8" s="13" t="inlineStr">
        <is>
          <t>Giao đủ 500 thẻ trong 14 ngày</t>
        </is>
      </c>
      <c r="G8" s="3" t="inlineStr">
        <is>
          <t>30/11/2026</t>
        </is>
      </c>
      <c r="H8" s="3" t="inlineStr">
        <is>
          <t>Chưa xuất</t>
        </is>
      </c>
      <c r="I8" s="3" t="inlineStr">
        <is>
          <t>CHƯA ĐẾN HẠN</t>
        </is>
      </c>
      <c r="J8" s="13" t="inlineStr">
        <is>
          <t>Giao hàng xong phát hành hồ sơ</t>
        </is>
      </c>
    </row>
    <row r="9">
      <c r="A9" s="13" t="inlineStr">
        <is>
          <t>HMV021020260001</t>
        </is>
      </c>
      <c r="B9" s="13" t="inlineStr">
        <is>
          <t>Cheng Feng Le Hua</t>
        </is>
      </c>
      <c r="C9" s="3" t="inlineStr">
        <is>
          <t>Đợt 1</t>
        </is>
      </c>
      <c r="D9" s="3" t="inlineStr">
        <is>
          <t>30%</t>
        </is>
      </c>
      <c r="E9" s="5" t="n">
        <v>300000000</v>
      </c>
      <c r="F9" s="13" t="inlineStr">
        <is>
          <t>Tạm ứng ký hợp đồng</t>
        </is>
      </c>
      <c r="G9" s="3" t="inlineStr">
        <is>
          <t>05/10/2026</t>
        </is>
      </c>
      <c r="H9" s="3" t="inlineStr">
        <is>
          <t>HD-00180</t>
        </is>
      </c>
      <c r="I9" s="14" t="inlineStr">
        <is>
          <t>ĐÃ THU ĐỦ</t>
        </is>
      </c>
      <c r="J9" s="13" t="inlineStr">
        <is>
          <t>Hoàn thành</t>
        </is>
      </c>
    </row>
    <row r="10">
      <c r="A10" s="13" t="inlineStr">
        <is>
          <t>HMV021020260001</t>
        </is>
      </c>
      <c r="B10" s="13" t="inlineStr">
        <is>
          <t>Cheng Feng Le Hua</t>
        </is>
      </c>
      <c r="C10" s="3" t="inlineStr">
        <is>
          <t>Đợt 2</t>
        </is>
      </c>
      <c r="D10" s="3" t="inlineStr">
        <is>
          <t>30%</t>
        </is>
      </c>
      <c r="E10" s="5" t="n">
        <v>300000000</v>
      </c>
      <c r="F10" s="13" t="inlineStr">
        <is>
          <t>Hoàn thành kéo cáp (T/T 30d)</t>
        </is>
      </c>
      <c r="G10" s="3" t="inlineStr">
        <is>
          <t>15/11/2026</t>
        </is>
      </c>
      <c r="H10" s="3" t="inlineStr">
        <is>
          <t>Chưa xuất</t>
        </is>
      </c>
      <c r="I10" s="3" t="inlineStr">
        <is>
          <t>ĐANG THI CÔNG</t>
        </is>
      </c>
      <c r="J10" s="13" t="inlineStr">
        <is>
          <t>Giám sát nghiệm thu kéo cáp</t>
        </is>
      </c>
    </row>
    <row r="11">
      <c r="A11" s="13" t="inlineStr">
        <is>
          <t>HMV021020260001</t>
        </is>
      </c>
      <c r="B11" s="13" t="inlineStr">
        <is>
          <t>Cheng Feng Le Hua</t>
        </is>
      </c>
      <c r="C11" s="3" t="inlineStr">
        <is>
          <t>Đợt 3</t>
        </is>
      </c>
      <c r="D11" s="3" t="inlineStr">
        <is>
          <t>30%</t>
        </is>
      </c>
      <c r="E11" s="5" t="n">
        <v>300000000</v>
      </c>
      <c r="F11" s="13" t="inlineStr">
        <is>
          <t>Lắp đặt thiết bị Server (T/T 60d)</t>
        </is>
      </c>
      <c r="G11" s="3" t="inlineStr">
        <is>
          <t>20/12/2026</t>
        </is>
      </c>
      <c r="H11" s="3" t="inlineStr">
        <is>
          <t>Chưa xuất</t>
        </is>
      </c>
      <c r="I11" s="3" t="inlineStr">
        <is>
          <t>CHƯA ĐẾN HẠN</t>
        </is>
      </c>
      <c r="J11" s="13" t="inlineStr">
        <is>
          <t>Chuẩn bị Server Dell &amp; Switch</t>
        </is>
      </c>
    </row>
    <row r="12">
      <c r="A12" s="13" t="inlineStr">
        <is>
          <t>HMV021020260001</t>
        </is>
      </c>
      <c r="B12" s="13" t="inlineStr">
        <is>
          <t>Cheng Feng Le Hua</t>
        </is>
      </c>
      <c r="C12" s="3" t="inlineStr">
        <is>
          <t>Đợt 4</t>
        </is>
      </c>
      <c r="D12" s="3" t="inlineStr">
        <is>
          <t>10%</t>
        </is>
      </c>
      <c r="E12" s="5" t="n">
        <v>100000000</v>
      </c>
      <c r="F12" s="13" t="inlineStr">
        <is>
          <t>Nghiệm thu cuối FAC (T/T 60d)</t>
        </is>
      </c>
      <c r="G12" s="3" t="inlineStr">
        <is>
          <t>20/02/2027</t>
        </is>
      </c>
      <c r="H12" s="3" t="inlineStr">
        <is>
          <t>Chưa xuất</t>
        </is>
      </c>
      <c r="I12" s="3" t="inlineStr">
        <is>
          <t>CHƯA ĐẾN HẠN</t>
        </is>
      </c>
      <c r="J12" s="13" t="inlineStr">
        <is>
          <t>Bàn giao hoàn công &amp; HDSD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8" customWidth="1" min="3" max="3"/>
    <col width="12" customWidth="1" min="4" max="4"/>
    <col width="22" customWidth="1" min="5" max="5"/>
    <col width="16" customWidth="1" min="6" max="6"/>
    <col width="16" customWidth="1" min="7" max="7"/>
    <col width="27" customWidth="1" min="8" max="8"/>
    <col width="31" customWidth="1" min="9" max="9"/>
  </cols>
  <sheetData>
    <row r="1">
      <c r="A1" s="11" t="inlineStr">
        <is>
          <t>DANH SÁCH ĐƠN HÀNG MUA VẬT TƯ &amp; THEO DÕI NHÀ CUNG CẤP (PO TRACKING)</t>
        </is>
      </c>
    </row>
    <row r="2"/>
    <row r="3">
      <c r="A3" s="12" t="inlineStr">
        <is>
          <t>Số PO / 採購單號</t>
        </is>
      </c>
      <c r="B3" s="12" t="inlineStr">
        <is>
          <t>Nhà Cung Cấp / 廠商</t>
        </is>
      </c>
      <c r="C3" s="12" t="inlineStr">
        <is>
          <t>Tên Thiết Bị / Vật Tư</t>
        </is>
      </c>
      <c r="D3" s="12" t="inlineStr">
        <is>
          <t>SL</t>
        </is>
      </c>
      <c r="E3" s="12" t="inlineStr">
        <is>
          <t>Dự Án Sử Dụng</t>
        </is>
      </c>
      <c r="F3" s="12" t="inlineStr">
        <is>
          <t>Ngày Đặt Hàng</t>
        </is>
      </c>
      <c r="G3" s="12" t="inlineStr">
        <is>
          <t>Hạn Giao Hàng</t>
        </is>
      </c>
      <c r="H3" s="12" t="inlineStr">
        <is>
          <t>Tình Trạng Hàng Hóa</t>
        </is>
      </c>
      <c r="I3" s="12" t="inlineStr">
        <is>
          <t>Chứng Từ Kèm Theo (CO/CQ/HĐ)</t>
        </is>
      </c>
    </row>
    <row r="4">
      <c r="A4" s="3" t="inlineStr">
        <is>
          <t>HM-PO-202610-01</t>
        </is>
      </c>
      <c r="B4" s="13" t="inlineStr">
        <is>
          <t>Đại lý Dell Việt Nam</t>
        </is>
      </c>
      <c r="C4" s="13" t="inlineStr">
        <is>
          <t>Dell PowerEdge R760xs Server + WinServer + SQL</t>
        </is>
      </c>
      <c r="D4" s="3" t="n">
        <v>1</v>
      </c>
      <c r="E4" s="13" t="inlineStr">
        <is>
          <t>Cheng Feng Bắc Ninh</t>
        </is>
      </c>
      <c r="F4" s="3" t="inlineStr">
        <is>
          <t>06/10/2026</t>
        </is>
      </c>
      <c r="G4" s="3" t="inlineStr">
        <is>
          <t>20/10/2026</t>
        </is>
      </c>
      <c r="H4" s="13" t="inlineStr">
        <is>
          <t>Chờ hãng xuất kho</t>
        </is>
      </c>
      <c r="I4" s="13" t="inlineStr">
        <is>
          <t>CO/CQ chính hãng Dell</t>
        </is>
      </c>
    </row>
    <row r="5">
      <c r="A5" s="3" t="inlineStr">
        <is>
          <t>HM-PO-202610-02</t>
        </is>
      </c>
      <c r="B5" s="13" t="inlineStr">
        <is>
          <t>Nhà máy Thẻ RFID (TW)</t>
        </is>
      </c>
      <c r="C5" s="13" t="inlineStr">
        <is>
          <t>Thẻ RFID Silicon OPP9018 (500 pcs)</t>
        </is>
      </c>
      <c r="D5" s="3" t="n">
        <v>500</v>
      </c>
      <c r="E5" s="13" t="inlineStr">
        <is>
          <t>CX Technology</t>
        </is>
      </c>
      <c r="F5" s="3" t="inlineStr">
        <is>
          <t>26/09/2026</t>
        </is>
      </c>
      <c r="G5" s="3" t="inlineStr">
        <is>
          <t>10/11/2026</t>
        </is>
      </c>
      <c r="H5" s="13" t="inlineStr">
        <is>
          <t>Đang vận chuyển quốc tế</t>
        </is>
      </c>
      <c r="I5" s="13" t="inlineStr">
        <is>
          <t>Invoice, PL, Tờ khai HQ</t>
        </is>
      </c>
    </row>
    <row r="6">
      <c r="A6" s="3" t="inlineStr">
        <is>
          <t>HM-PO-202610-03</t>
        </is>
      </c>
      <c r="B6" s="13" t="inlineStr">
        <is>
          <t>Phân phối Cáp Mạng &amp; Quang</t>
        </is>
      </c>
      <c r="C6" s="13" t="inlineStr">
        <is>
          <t>Switch TP-Link, Module quang 1G, cáp Cat6</t>
        </is>
      </c>
      <c r="D6" s="3" t="n">
        <v>1</v>
      </c>
      <c r="E6" s="13" t="inlineStr">
        <is>
          <t>Cheng Feng Bắc Ninh</t>
        </is>
      </c>
      <c r="F6" s="3" t="inlineStr">
        <is>
          <t>05/10/2026</t>
        </is>
      </c>
      <c r="G6" s="3" t="inlineStr">
        <is>
          <t>10/10/2026</t>
        </is>
      </c>
      <c r="H6" s="13" t="inlineStr">
        <is>
          <t>Đã nhận kho đủ</t>
        </is>
      </c>
      <c r="I6" s="13" t="inlineStr">
        <is>
          <t>Hóa đơn VAT, Phiếu xuất kho</t>
        </is>
      </c>
    </row>
    <row r="7">
      <c r="A7" s="3" t="inlineStr">
        <is>
          <t>HM-PO-202610-04</t>
        </is>
      </c>
      <c r="B7" s="13" t="inlineStr">
        <is>
          <t>Điện máy Bắc Ninh</t>
        </is>
      </c>
      <c r="C7" s="13" t="inlineStr">
        <is>
          <t>Smart TV TCL 65 Inch + Giá treo</t>
        </is>
      </c>
      <c r="D7" s="3" t="n">
        <v>1</v>
      </c>
      <c r="E7" s="13" t="inlineStr">
        <is>
          <t>Cheng Feng Bắc Ninh</t>
        </is>
      </c>
      <c r="F7" s="3" t="inlineStr">
        <is>
          <t>10/10/2026</t>
        </is>
      </c>
      <c r="G7" s="3" t="inlineStr">
        <is>
          <t>15/10/2026</t>
        </is>
      </c>
      <c r="H7" s="13" t="inlineStr">
        <is>
          <t>Sẵn sàng giao công trình</t>
        </is>
      </c>
      <c r="I7" s="13" t="inlineStr">
        <is>
          <t>Hóa đơn VAT bảo hành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2026-10-09T04:27:30Z</dcterms:created>
  <dcterms:modified xmlns:dcterms="http://purl.org/dc/terms/" xmlns:xsi="http://www.w3.org/2001/XMLSchema-instance" xsi:type="dcterms:W3CDTF">2026-10-09T04:27:30Z</dcterms:modified>
</cp:coreProperties>
</file>