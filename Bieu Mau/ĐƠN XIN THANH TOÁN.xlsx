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BANG\Downloads\"/>
    </mc:Choice>
  </mc:AlternateContent>
  <xr:revisionPtr revIDLastSave="0" documentId="13_ncr:1_{254CC6A4-9B53-4A52-B164-8D44E7BA3727}" xr6:coauthVersionLast="47" xr6:coauthVersionMax="47" xr10:uidLastSave="{00000000-0000-0000-0000-000000000000}"/>
  <bookViews>
    <workbookView xWindow="-108" yWindow="-108" windowWidth="23256" windowHeight="13176" tabRatio="968" firstSheet="8" activeTab="18" xr2:uid="{00000000-000D-0000-FFFF-FFFF00000000}"/>
  </bookViews>
  <sheets>
    <sheet name="THANH XUÂN" sheetId="61" r:id="rId1"/>
    <sheet name="THANH XUÂN (2)" sheetId="71" r:id="rId2"/>
    <sheet name="LƯƠNG CNV" sheetId="68" r:id="rId3"/>
    <sheet name="BHXH" sheetId="55" r:id="rId4"/>
    <sheet name="THỊNH ĐẠI PHÁT" sheetId="69" r:id="rId5"/>
    <sheet name="VIỆT NHẬT" sheetId="56" r:id="rId6"/>
    <sheet name="BÁCH DUY" sheetId="70" r:id="rId7"/>
    <sheet name="Advanteck" sheetId="64" r:id="rId8"/>
    <sheet name="WIN TECH" sheetId="57" r:id="rId9"/>
    <sheet name="THÁI SƠN" sheetId="58" r:id="rId10"/>
    <sheet name="TIN BẢO LAN" sheetId="59" r:id="rId11"/>
    <sheet name="HẰNG ĐỈNH" sheetId="60" r:id="rId12"/>
    <sheet name="GBL1" sheetId="62" r:id="rId13"/>
    <sheet name="GLB" sheetId="78" r:id="rId14"/>
    <sheet name="123" sheetId="75" r:id="rId15"/>
    <sheet name="TOAN PHU GIAI" sheetId="66" r:id="rId16"/>
    <sheet name="DTT" sheetId="79" r:id="rId17"/>
    <sheet name="HAHAEXE" sheetId="74" r:id="rId18"/>
    <sheet name="FINEPRO" sheetId="73" r:id="rId19"/>
    <sheet name="OMI CALL" sheetId="72" r:id="rId20"/>
    <sheet name="TCSK OMG" sheetId="67" r:id="rId21"/>
    <sheet name="A&amp;B" sheetId="76" r:id="rId22"/>
    <sheet name="A&amp;B (2)" sheetId="77" r:id="rId23"/>
    <sheet name="HẰNG THANH" sheetId="65" r:id="rId24"/>
    <sheet name="lệ phí HQ" sheetId="63" r:id="rId25"/>
  </sheets>
  <definedNames>
    <definedName name="a" localSheetId="3">#REF!</definedName>
    <definedName name="a">#REF!</definedName>
    <definedName name="Á" localSheetId="3">#REF!</definedName>
    <definedName name="Á">#REF!</definedName>
    <definedName name="b" localSheetId="3">#REF!</definedName>
    <definedName name="b">#REF!</definedName>
    <definedName name="CHECK" localSheetId="3">#REF!</definedName>
    <definedName name="CHECK">#REF!</definedName>
    <definedName name="_xlnm.Print_Area" localSheetId="14">'123'!$A$1:$I$14</definedName>
    <definedName name="_xlnm.Print_Area" localSheetId="3">BHXH!$A$1:$I$14</definedName>
    <definedName name="_xlnm.Print_Area" localSheetId="16">DTT!$A$1:$I$14</definedName>
    <definedName name="_xlnm.Print_Area" localSheetId="15">'TOAN PHU GIAI'!$A$1:$I$14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75" l="1"/>
  <c r="D12" i="75" s="1"/>
  <c r="G7" i="62"/>
  <c r="D12" i="66"/>
  <c r="A4" i="77"/>
  <c r="G8" i="77"/>
  <c r="G9" i="77"/>
  <c r="D12" i="77"/>
  <c r="D12" i="79"/>
  <c r="A4" i="79"/>
  <c r="D12" i="78"/>
  <c r="D13" i="78" s="1"/>
  <c r="B8" i="78"/>
  <c r="A4" i="78"/>
  <c r="D12" i="76"/>
  <c r="G9" i="76"/>
  <c r="G8" i="76"/>
  <c r="A4" i="76"/>
  <c r="A4" i="75"/>
  <c r="D12" i="74"/>
  <c r="A4" i="74"/>
  <c r="D12" i="73"/>
  <c r="B8" i="73"/>
  <c r="A4" i="73"/>
  <c r="D12" i="72"/>
  <c r="D13" i="72" s="1"/>
  <c r="A4" i="72"/>
  <c r="D12" i="62"/>
  <c r="D13" i="62" s="1"/>
  <c r="D12" i="71"/>
  <c r="A4" i="71"/>
  <c r="D12" i="70"/>
  <c r="A4" i="70"/>
  <c r="D12" i="69"/>
  <c r="D13" i="69" s="1"/>
  <c r="A4" i="69"/>
  <c r="D12" i="68"/>
  <c r="D13" i="68" s="1"/>
  <c r="G9" i="68"/>
  <c r="G8" i="68"/>
  <c r="A4" i="68"/>
  <c r="D12" i="67"/>
  <c r="D13" i="67" s="1"/>
  <c r="G9" i="67"/>
  <c r="G8" i="67"/>
  <c r="A4" i="67"/>
  <c r="A4" i="66"/>
  <c r="D12" i="65"/>
  <c r="G9" i="65"/>
  <c r="G8" i="65"/>
  <c r="A4" i="65"/>
  <c r="D12" i="64"/>
  <c r="D13" i="64" s="1"/>
  <c r="A4" i="64"/>
  <c r="D12" i="63"/>
  <c r="A4" i="63"/>
  <c r="A4" i="62"/>
  <c r="A4" i="60"/>
  <c r="A4" i="59"/>
  <c r="A4" i="58"/>
  <c r="A4" i="57"/>
  <c r="A4" i="56"/>
  <c r="A4" i="55"/>
  <c r="A4" i="61"/>
  <c r="D12" i="61"/>
  <c r="D13" i="61" s="1"/>
  <c r="D12" i="60"/>
  <c r="D12" i="59"/>
  <c r="G7" i="58"/>
  <c r="D12" i="58" s="1"/>
  <c r="D12" i="57"/>
  <c r="D13" i="57" s="1"/>
  <c r="G9" i="57"/>
  <c r="G8" i="57"/>
  <c r="B8" i="57"/>
  <c r="D12" i="56"/>
  <c r="D13" i="56" s="1"/>
  <c r="G9" i="56"/>
  <c r="G8" i="56"/>
  <c r="D12" i="55"/>
  <c r="B8" i="55" s="1"/>
  <c r="G9" i="55"/>
  <c r="G8" i="55"/>
  <c r="D13" i="76" l="1"/>
  <c r="B8" i="76"/>
  <c r="D13" i="77"/>
  <c r="B8" i="77"/>
  <c r="D13" i="71"/>
  <c r="B8" i="71"/>
  <c r="D13" i="79"/>
  <c r="B8" i="79"/>
  <c r="D13" i="70"/>
  <c r="B8" i="70"/>
  <c r="D13" i="75"/>
  <c r="B8" i="75"/>
  <c r="D13" i="74"/>
  <c r="B8" i="74"/>
  <c r="D13" i="73"/>
  <c r="B8" i="68"/>
  <c r="B8" i="72"/>
  <c r="B8" i="69"/>
  <c r="B8" i="67"/>
  <c r="D13" i="66"/>
  <c r="B8" i="66"/>
  <c r="D13" i="65"/>
  <c r="B8" i="65"/>
  <c r="B8" i="62"/>
  <c r="B8" i="64"/>
  <c r="D13" i="63"/>
  <c r="B8" i="63"/>
  <c r="B8" i="61"/>
  <c r="D13" i="60"/>
  <c r="B8" i="60"/>
  <c r="D13" i="59"/>
  <c r="B8" i="59"/>
  <c r="D13" i="58"/>
  <c r="B8" i="58"/>
  <c r="B8" i="56"/>
  <c r="D13" i="55"/>
</calcChain>
</file>

<file path=xl/sharedStrings.xml><?xml version="1.0" encoding="utf-8"?>
<sst xmlns="http://schemas.openxmlformats.org/spreadsheetml/2006/main" count="606" uniqueCount="151">
  <si>
    <r>
      <rPr>
        <sz val="11"/>
        <color theme="1"/>
        <rFont val="Times New Roman"/>
        <family val="1"/>
      </rPr>
      <t xml:space="preserve">收款单位
</t>
    </r>
    <r>
      <rPr>
        <sz val="11"/>
        <color theme="1"/>
        <rFont val="Times New Roman"/>
        <family val="1"/>
      </rPr>
      <t>The collection unit</t>
    </r>
  </si>
  <si>
    <r>
      <rPr>
        <sz val="11"/>
        <color theme="1"/>
        <rFont val="宋体"/>
        <charset val="136"/>
      </rPr>
      <t>付款原因</t>
    </r>
    <r>
      <rPr>
        <sz val="11"/>
        <color theme="1"/>
        <rFont val="Times New Roman"/>
        <family val="1"/>
      </rPr>
      <t xml:space="preserve">
The reason for payment</t>
    </r>
  </si>
  <si>
    <r>
      <rPr>
        <sz val="11"/>
        <color theme="1"/>
        <rFont val="Times New Roman"/>
        <family val="1"/>
      </rPr>
      <t xml:space="preserve">账号
</t>
    </r>
    <r>
      <rPr>
        <sz val="11"/>
        <color theme="1"/>
        <rFont val="Times New Roman"/>
        <family val="1"/>
      </rPr>
      <t>Account number</t>
    </r>
  </si>
  <si>
    <r>
      <rPr>
        <sz val="11"/>
        <color theme="1"/>
        <rFont val="Times New Roman"/>
        <family val="1"/>
      </rPr>
      <t xml:space="preserve">开户行
</t>
    </r>
    <r>
      <rPr>
        <sz val="11"/>
        <color theme="1"/>
        <rFont val="Times New Roman"/>
        <family val="1"/>
      </rPr>
      <t>Open an account</t>
    </r>
  </si>
  <si>
    <t>VND</t>
  </si>
  <si>
    <r>
      <rPr>
        <sz val="11"/>
        <color theme="1"/>
        <rFont val="宋体"/>
        <charset val="136"/>
      </rPr>
      <t xml:space="preserve">金额（大写）
</t>
    </r>
    <r>
      <rPr>
        <sz val="11"/>
        <color theme="1"/>
        <rFont val="Times New Roman"/>
        <family val="1"/>
      </rPr>
      <t>Sum (capital)</t>
    </r>
  </si>
  <si>
    <r>
      <rPr>
        <sz val="11"/>
        <color theme="0"/>
        <rFont val="DengXian"/>
        <charset val="134"/>
      </rPr>
      <t>补发</t>
    </r>
    <r>
      <rPr>
        <sz val="11"/>
        <color theme="0"/>
        <rFont val="Times New Roman"/>
        <family val="1"/>
      </rPr>
      <t>1</t>
    </r>
    <r>
      <rPr>
        <sz val="11"/>
        <color theme="0"/>
        <rFont val="DengXian"/>
        <charset val="134"/>
      </rPr>
      <t>月份</t>
    </r>
  </si>
  <si>
    <r>
      <rPr>
        <sz val="11"/>
        <color theme="0"/>
        <rFont val="Times New Roman"/>
        <family val="1"/>
      </rPr>
      <t>02</t>
    </r>
    <r>
      <rPr>
        <sz val="11"/>
        <color theme="0"/>
        <rFont val="DengXian"/>
        <charset val="134"/>
      </rPr>
      <t>月暂停发工资</t>
    </r>
  </si>
  <si>
    <t>,</t>
  </si>
  <si>
    <r>
      <rPr>
        <sz val="11"/>
        <color theme="1"/>
        <rFont val="Times New Roman"/>
        <family val="1"/>
      </rPr>
      <t xml:space="preserve">附件
</t>
    </r>
    <r>
      <rPr>
        <sz val="11"/>
        <color theme="1"/>
        <rFont val="Times New Roman"/>
        <family val="1"/>
      </rPr>
      <t>Accessory</t>
    </r>
  </si>
  <si>
    <r>
      <rPr>
        <sz val="11"/>
        <color theme="1"/>
        <rFont val="SimSun"/>
        <charset val="134"/>
      </rPr>
      <t>金额</t>
    </r>
  </si>
  <si>
    <r>
      <rPr>
        <sz val="11"/>
        <color theme="1"/>
        <rFont val="宋体"/>
        <charset val="136"/>
      </rPr>
      <t>约</t>
    </r>
  </si>
  <si>
    <r>
      <rPr>
        <sz val="11"/>
        <color theme="1"/>
        <rFont val="SimSun"/>
        <charset val="134"/>
      </rPr>
      <t>经理</t>
    </r>
    <r>
      <rPr>
        <sz val="11"/>
        <color theme="1"/>
        <rFont val="Times New Roman"/>
        <family val="1"/>
      </rPr>
      <t xml:space="preserve">
Director</t>
    </r>
  </si>
  <si>
    <r>
      <rPr>
        <sz val="11"/>
        <color theme="1"/>
        <rFont val="SimSun"/>
        <charset val="134"/>
      </rPr>
      <t>会计</t>
    </r>
    <r>
      <rPr>
        <sz val="11"/>
        <color theme="1"/>
        <rFont val="Times New Roman"/>
        <family val="1"/>
      </rPr>
      <t xml:space="preserve">
Accountant</t>
    </r>
  </si>
  <si>
    <r>
      <rPr>
        <sz val="11"/>
        <color theme="1"/>
        <rFont val="SimSun"/>
        <charset val="134"/>
      </rPr>
      <t>审核</t>
    </r>
    <r>
      <rPr>
        <sz val="11"/>
        <color theme="1"/>
        <rFont val="Times New Roman"/>
        <family val="1"/>
      </rPr>
      <t xml:space="preserve">
Checker</t>
    </r>
  </si>
  <si>
    <r>
      <rPr>
        <sz val="11"/>
        <color theme="1"/>
        <rFont val="SimSun"/>
        <charset val="134"/>
      </rPr>
      <t>单位主管</t>
    </r>
    <r>
      <rPr>
        <sz val="11"/>
        <color theme="1"/>
        <rFont val="Times New Roman"/>
        <family val="1"/>
      </rPr>
      <t xml:space="preserve">
Supervisor</t>
    </r>
  </si>
  <si>
    <t>浤詺付款申请单</t>
    <phoneticPr fontId="18" type="noConversion"/>
  </si>
  <si>
    <t>CÔNG TY TNHH TOÀN CẦU HONG MING</t>
    <phoneticPr fontId="18" type="noConversion"/>
  </si>
  <si>
    <t>USD</t>
    <phoneticPr fontId="18" type="noConversion"/>
  </si>
  <si>
    <t>BHXH CO SO TAN DINH</t>
    <phoneticPr fontId="18" type="noConversion"/>
  </si>
  <si>
    <t>0331009999999</t>
    <phoneticPr fontId="18" type="noConversion"/>
  </si>
  <si>
    <t>tại ngân hàng Vietcombank – Chi nhánh Sài Gòn</t>
    <phoneticPr fontId="18" type="noConversion"/>
  </si>
  <si>
    <t xml:space="preserve">CONG TY TNHH WIN TECH SOLUTION </t>
    <phoneticPr fontId="18" type="noConversion"/>
  </si>
  <si>
    <r>
      <t>报单号：20251219</t>
    </r>
    <r>
      <rPr>
        <b/>
        <sz val="12"/>
        <color theme="1"/>
        <rFont val="Calibri"/>
        <family val="2"/>
      </rPr>
      <t>-2</t>
    </r>
    <phoneticPr fontId="18" type="noConversion"/>
  </si>
  <si>
    <t>68968888</t>
    <phoneticPr fontId="18" type="noConversion"/>
  </si>
  <si>
    <t>tại ngân hàng TMCP Á Châu-CN Bảy Hiền, Tp Hcm</t>
    <phoneticPr fontId="18" type="noConversion"/>
  </si>
  <si>
    <r>
      <t xml:space="preserve">TT gia hạn HT mở hóa đơn INV 14543
</t>
    </r>
    <r>
      <rPr>
        <b/>
        <sz val="10.5"/>
        <color theme="1"/>
        <rFont val="Microsoft YaHei"/>
        <family val="2"/>
        <charset val="134"/>
      </rPr>
      <t>付款開發票系統加期</t>
    </r>
    <phoneticPr fontId="18" type="noConversion"/>
  </si>
  <si>
    <r>
      <t>报单号：20251219</t>
    </r>
    <r>
      <rPr>
        <b/>
        <sz val="12"/>
        <color theme="1"/>
        <rFont val="Calibri"/>
        <family val="2"/>
      </rPr>
      <t>-3</t>
    </r>
    <phoneticPr fontId="18" type="noConversion"/>
  </si>
  <si>
    <t>CONG TY TNHH PHAT TRIEN CONG NGHE THAI SON</t>
    <phoneticPr fontId="18" type="noConversion"/>
  </si>
  <si>
    <t>0491001474862</t>
    <phoneticPr fontId="18" type="noConversion"/>
  </si>
  <si>
    <r>
      <t xml:space="preserve">TT CKS+EBH(bhxh) và Gia hạn CKS+PM Hải Quan INV : 66024; 65684; 66854; 66855
</t>
    </r>
    <r>
      <rPr>
        <b/>
        <sz val="10.5"/>
        <color theme="1"/>
        <rFont val="Microsoft YaHei"/>
        <family val="2"/>
        <charset val="134"/>
      </rPr>
      <t>付款保險系統，電子U盘&amp;付款開報關系統，電子U盘加期</t>
    </r>
    <phoneticPr fontId="18" type="noConversion"/>
  </si>
  <si>
    <t>66024</t>
    <phoneticPr fontId="18" type="noConversion"/>
  </si>
  <si>
    <t>65684</t>
    <phoneticPr fontId="18" type="noConversion"/>
  </si>
  <si>
    <t>66854</t>
    <phoneticPr fontId="18" type="noConversion"/>
  </si>
  <si>
    <t>66855</t>
    <phoneticPr fontId="18" type="noConversion"/>
  </si>
  <si>
    <t>5813207</t>
    <phoneticPr fontId="18" type="noConversion"/>
  </si>
  <si>
    <t>Ngân Hàng TMCP Á Châu (ACB) – Chi Nhánh Bình Dương</t>
    <phoneticPr fontId="18" type="noConversion"/>
  </si>
  <si>
    <r>
      <t xml:space="preserve">TT VPP 20.12.2025
</t>
    </r>
    <r>
      <rPr>
        <b/>
        <sz val="10.5"/>
        <color theme="1"/>
        <rFont val="微軟正黑體"/>
        <family val="2"/>
        <charset val="136"/>
      </rPr>
      <t>付款辦公用品</t>
    </r>
    <r>
      <rPr>
        <b/>
        <sz val="10.5"/>
        <color theme="1"/>
        <rFont val="Calibri"/>
        <family val="2"/>
      </rPr>
      <t>INV 763</t>
    </r>
    <phoneticPr fontId="18" type="noConversion"/>
  </si>
  <si>
    <t>报单号：20251222-1</t>
    <phoneticPr fontId="18" type="noConversion"/>
  </si>
  <si>
    <t>CÔNG TY TNHH HẰNG ĐỈNH</t>
    <phoneticPr fontId="18" type="noConversion"/>
  </si>
  <si>
    <t>Ngân Hàng TMCP Ngoại Thương VN - CN Thăng Long HN</t>
    <phoneticPr fontId="18" type="noConversion"/>
  </si>
  <si>
    <r>
      <t>tại ngân hàng Agribank-CN Thành phố Thuận An Sóng Thần
SWIFT CODE</t>
    </r>
    <r>
      <rPr>
        <sz val="11"/>
        <color theme="1"/>
        <rFont val="微軟正黑體"/>
        <family val="1"/>
        <charset val="136"/>
      </rPr>
      <t>：</t>
    </r>
    <r>
      <rPr>
        <sz val="11"/>
        <color theme="1"/>
        <rFont val="Times New Roman"/>
        <family val="1"/>
      </rPr>
      <t xml:space="preserve"> VBAAVNVX6524</t>
    </r>
    <phoneticPr fontId="18" type="noConversion"/>
  </si>
  <si>
    <t>CÔNG TY TNHH VIET NHAT SOLUTIONS</t>
    <phoneticPr fontId="18" type="noConversion"/>
  </si>
  <si>
    <t xml:space="preserve">5592201007166 </t>
    <phoneticPr fontId="18" type="noConversion"/>
  </si>
  <si>
    <t>CÔNG TY TNHH ĐẦU TƯ PHÁT TRIỂN VÀ THƯƠNG MẠI THANH XUÂN</t>
    <phoneticPr fontId="18" type="noConversion"/>
  </si>
  <si>
    <t>0101100497008</t>
    <phoneticPr fontId="18" type="noConversion"/>
  </si>
  <si>
    <t>CÔNG TY TNHH TM DV SX GLOBAL LINK</t>
    <phoneticPr fontId="18" type="noConversion"/>
  </si>
  <si>
    <r>
      <t>报单号：20260210</t>
    </r>
    <r>
      <rPr>
        <b/>
        <sz val="12"/>
        <color theme="1"/>
        <rFont val="Calibri"/>
        <family val="2"/>
      </rPr>
      <t>-01</t>
    </r>
    <phoneticPr fontId="18" type="noConversion"/>
  </si>
  <si>
    <t>HẢI QUAN</t>
    <phoneticPr fontId="18" type="noConversion"/>
  </si>
  <si>
    <t>TK 30769185255
10681526495</t>
    <phoneticPr fontId="18" type="noConversion"/>
  </si>
  <si>
    <t>KHO BẠC NN</t>
    <phoneticPr fontId="18" type="noConversion"/>
  </si>
  <si>
    <t>VCB</t>
    <phoneticPr fontId="18" type="noConversion"/>
  </si>
  <si>
    <t>110003019737</t>
    <phoneticPr fontId="18" type="noConversion"/>
  </si>
  <si>
    <t>VIETINBANK</t>
    <phoneticPr fontId="18" type="noConversion"/>
  </si>
  <si>
    <t>tại ngân hàng MB (Quân Đội)</t>
    <phoneticPr fontId="18" type="noConversion"/>
  </si>
  <si>
    <t>CÔNG TY TNHH AVANTECH VIỆT NAM TECHNOLOGY</t>
    <phoneticPr fontId="18" type="noConversion"/>
  </si>
  <si>
    <t>0851000023335</t>
    <phoneticPr fontId="18" type="noConversion"/>
  </si>
  <si>
    <t>Ngân Hàng TMCP Ngoại Thương Việt Nam - CN Hà Thành</t>
    <phoneticPr fontId="18" type="noConversion"/>
  </si>
  <si>
    <r>
      <t xml:space="preserve">Thanh Toán 70% giá trị hợp đồng 01-2026AVN-VNHONGM01
</t>
    </r>
    <r>
      <rPr>
        <b/>
        <sz val="10.5"/>
        <color theme="1"/>
        <rFont val="微軟正黑體"/>
        <family val="2"/>
        <charset val="136"/>
      </rPr>
      <t>支付合同编号</t>
    </r>
    <r>
      <rPr>
        <b/>
        <sz val="10.5"/>
        <color theme="1"/>
        <rFont val="Calibri"/>
        <family val="2"/>
      </rPr>
      <t xml:space="preserve"> 01-2026AVN-VNHONGM01 </t>
    </r>
    <r>
      <rPr>
        <b/>
        <sz val="10.5"/>
        <color theme="1"/>
        <rFont val="微軟正黑體"/>
        <family val="2"/>
        <charset val="136"/>
      </rPr>
      <t>项下合同总金额的</t>
    </r>
    <r>
      <rPr>
        <b/>
        <sz val="10.5"/>
        <color theme="1"/>
        <rFont val="Calibri"/>
        <family val="2"/>
      </rPr>
      <t>70%</t>
    </r>
    <r>
      <rPr>
        <b/>
        <sz val="10.5"/>
        <color theme="1"/>
        <rFont val="微軟正黑體"/>
        <family val="2"/>
        <charset val="136"/>
      </rPr>
      <t>。</t>
    </r>
    <phoneticPr fontId="18" type="noConversion"/>
  </si>
  <si>
    <t>报单号：20260325</t>
    <phoneticPr fontId="18" type="noConversion"/>
  </si>
  <si>
    <r>
      <t>制单</t>
    </r>
    <r>
      <rPr>
        <sz val="11"/>
        <color theme="1"/>
        <rFont val="SimSun"/>
        <family val="1"/>
      </rPr>
      <t xml:space="preserve">
Prepared by
BÙI THỊ THANH TIỀN</t>
    </r>
    <phoneticPr fontId="18" type="noConversion"/>
  </si>
  <si>
    <r>
      <t>制单</t>
    </r>
    <r>
      <rPr>
        <sz val="11"/>
        <color theme="1"/>
        <rFont val="Times New Roman"/>
        <family val="1"/>
      </rPr>
      <t xml:space="preserve">
Prepared by</t>
    </r>
    <r>
      <rPr>
        <sz val="11"/>
        <color theme="1"/>
        <rFont val="SimSun"/>
        <charset val="134"/>
      </rPr>
      <t xml:space="preserve">
BÙI TH</t>
    </r>
    <r>
      <rPr>
        <sz val="11"/>
        <color theme="1"/>
        <rFont val="Times New Roman"/>
        <family val="1"/>
      </rPr>
      <t>Ị THANH TIỀN</t>
    </r>
    <phoneticPr fontId="18" type="noConversion"/>
  </si>
  <si>
    <t>CÔNG TY TNHH THƯƠNG MẠI DỊCH VỤ CÔNG NGHỆ QUỐC
  TẾ HẰNG THANH</t>
    <phoneticPr fontId="18" type="noConversion"/>
  </si>
  <si>
    <t xml:space="preserve">1039508686 </t>
    <phoneticPr fontId="18" type="noConversion"/>
  </si>
  <si>
    <t>Ngân hàng Vietcombank - Thị trấn Vôi - Lạng Giang –
  Bắc Giang</t>
    <phoneticPr fontId="18" type="noConversion"/>
  </si>
  <si>
    <t>CONG TY TNHH TO CHUC SU KIEN OMG</t>
    <phoneticPr fontId="18" type="noConversion"/>
  </si>
  <si>
    <t>0071000764939</t>
    <phoneticPr fontId="18" type="noConversion"/>
  </si>
  <si>
    <t>Vietcombank CN HCM</t>
    <phoneticPr fontId="18" type="noConversion"/>
  </si>
  <si>
    <t>DANH SÁCH ĐÍNH KÈM</t>
    <phoneticPr fontId="18" type="noConversion"/>
  </si>
  <si>
    <t>VIETCOMBANK</t>
    <phoneticPr fontId="18" type="noConversion"/>
  </si>
  <si>
    <r>
      <t>制单</t>
    </r>
    <r>
      <rPr>
        <sz val="11"/>
        <color theme="1"/>
        <rFont val="Times New Roman"/>
        <family val="1"/>
      </rPr>
      <t xml:space="preserve">
Prepared by</t>
    </r>
    <r>
      <rPr>
        <sz val="11"/>
        <color theme="1"/>
        <rFont val="SimSun"/>
        <charset val="134"/>
      </rPr>
      <t xml:space="preserve">
BÙI TH</t>
    </r>
    <r>
      <rPr>
        <sz val="11"/>
        <color theme="1"/>
        <rFont val="Times New Roman"/>
        <family val="1"/>
      </rPr>
      <t>Ị THANH TIỀN</t>
    </r>
    <phoneticPr fontId="18" type="noConversion"/>
  </si>
  <si>
    <r>
      <t>制单</t>
    </r>
    <r>
      <rPr>
        <sz val="11"/>
        <color theme="1"/>
        <rFont val="Times New Roman"/>
        <family val="1"/>
      </rPr>
      <t xml:space="preserve">
Prepared by
BÙI THỊ THANH TIỀN</t>
    </r>
    <phoneticPr fontId="18" type="noConversion"/>
  </si>
  <si>
    <r>
      <t>Thanh toán 100% số tiền theo hợp đồng số 06/04/2026/HĐMB/TBL&amp;HMC.</t>
    </r>
    <r>
      <rPr>
        <b/>
        <sz val="10.5"/>
        <color theme="1"/>
        <rFont val="微軟正黑體"/>
        <family val="2"/>
        <charset val="136"/>
      </rPr>
      <t xml:space="preserve">
支付合同编号为</t>
    </r>
    <r>
      <rPr>
        <b/>
        <sz val="10.5"/>
        <color theme="1"/>
        <rFont val="Calibri"/>
        <family val="2"/>
      </rPr>
      <t>06/04/2026/HĐMB/TBL&amp;HMC</t>
    </r>
    <r>
      <rPr>
        <b/>
        <sz val="10.5"/>
        <color theme="1"/>
        <rFont val="微軟正黑體"/>
        <family val="2"/>
        <charset val="136"/>
      </rPr>
      <t>的</t>
    </r>
    <r>
      <rPr>
        <b/>
        <sz val="10.5"/>
        <color theme="1"/>
        <rFont val="Calibri"/>
        <family val="2"/>
      </rPr>
      <t>100%</t>
    </r>
    <r>
      <rPr>
        <b/>
        <sz val="10.5"/>
        <color theme="1"/>
        <rFont val="微軟正黑體"/>
        <family val="2"/>
        <charset val="136"/>
      </rPr>
      <t>款项</t>
    </r>
    <phoneticPr fontId="18" type="noConversion"/>
  </si>
  <si>
    <t>报单号：20260409</t>
    <phoneticPr fontId="18" type="noConversion"/>
  </si>
  <si>
    <t>CONG TY TNHH THUONG MAI THINH DAI PHAT</t>
    <phoneticPr fontId="18" type="noConversion"/>
  </si>
  <si>
    <t>VCB-CN BD</t>
    <phoneticPr fontId="18" type="noConversion"/>
  </si>
  <si>
    <t>报单号：20260511</t>
    <phoneticPr fontId="18" type="noConversion"/>
  </si>
  <si>
    <r>
      <t xml:space="preserve">Thanh toán </t>
    </r>
    <r>
      <rPr>
        <b/>
        <sz val="10.5"/>
        <color theme="1"/>
        <rFont val="Segoe UI"/>
        <family val="2"/>
      </rPr>
      <t>đ</t>
    </r>
    <r>
      <rPr>
        <b/>
        <sz val="10.5"/>
        <color theme="1"/>
        <rFont val="Calibri"/>
        <family val="2"/>
      </rPr>
      <t>ợ</t>
    </r>
    <r>
      <rPr>
        <b/>
        <sz val="10.5"/>
        <color theme="1"/>
        <rFont val="SimSun"/>
        <charset val="134"/>
      </rPr>
      <t>t 2 (50%) theo h</t>
    </r>
    <r>
      <rPr>
        <b/>
        <sz val="10.5"/>
        <color theme="1"/>
        <rFont val="Calibri"/>
        <family val="2"/>
      </rPr>
      <t>ợ</t>
    </r>
    <r>
      <rPr>
        <b/>
        <sz val="10.5"/>
        <color theme="1"/>
        <rFont val="SimSun"/>
        <charset val="134"/>
      </rPr>
      <t xml:space="preserve">p </t>
    </r>
    <r>
      <rPr>
        <b/>
        <sz val="10.5"/>
        <color theme="1"/>
        <rFont val="Segoe UI"/>
        <family val="2"/>
      </rPr>
      <t>đ</t>
    </r>
    <r>
      <rPr>
        <b/>
        <sz val="10.5"/>
        <color theme="1"/>
        <rFont val="Calibri"/>
        <family val="2"/>
      </rPr>
      <t>ồ</t>
    </r>
    <r>
      <rPr>
        <b/>
        <sz val="10.5"/>
        <color theme="1"/>
        <rFont val="SimSun"/>
        <charset val="134"/>
      </rPr>
      <t>ng s</t>
    </r>
    <r>
      <rPr>
        <b/>
        <sz val="10.5"/>
        <color theme="1"/>
        <rFont val="Calibri"/>
        <family val="2"/>
      </rPr>
      <t>ố</t>
    </r>
    <r>
      <rPr>
        <b/>
        <sz val="10.5"/>
        <color theme="1"/>
        <rFont val="SimSun"/>
        <charset val="134"/>
      </rPr>
      <t xml:space="preserve"> VIMF BD26_HONG MING cho chi phí tham gia Tri</t>
    </r>
    <r>
      <rPr>
        <b/>
        <sz val="10.5"/>
        <color theme="1"/>
        <rFont val="Calibri"/>
        <family val="2"/>
      </rPr>
      <t>ể</t>
    </r>
    <r>
      <rPr>
        <b/>
        <sz val="10.5"/>
        <color theme="1"/>
        <rFont val="SimSun"/>
        <charset val="134"/>
      </rPr>
      <t>n lãm Công nghi</t>
    </r>
    <r>
      <rPr>
        <b/>
        <sz val="10.5"/>
        <color theme="1"/>
        <rFont val="Calibri"/>
        <family val="2"/>
      </rPr>
      <t>ệ</t>
    </r>
    <r>
      <rPr>
        <b/>
        <sz val="10.5"/>
        <color theme="1"/>
        <rFont val="SimSun"/>
        <charset val="134"/>
      </rPr>
      <t>p và S</t>
    </r>
    <r>
      <rPr>
        <b/>
        <sz val="10.5"/>
        <color theme="1"/>
        <rFont val="Calibri"/>
        <family val="2"/>
      </rPr>
      <t>ả</t>
    </r>
    <r>
      <rPr>
        <b/>
        <sz val="10.5"/>
        <color theme="1"/>
        <rFont val="SimSun"/>
        <charset val="134"/>
      </rPr>
      <t>n xu</t>
    </r>
    <r>
      <rPr>
        <b/>
        <sz val="10.5"/>
        <color theme="1"/>
        <rFont val="Calibri"/>
        <family val="2"/>
      </rPr>
      <t>ấ</t>
    </r>
    <r>
      <rPr>
        <b/>
        <sz val="10.5"/>
        <color theme="1"/>
        <rFont val="SimSun"/>
        <charset val="134"/>
      </rPr>
      <t>t Vi</t>
    </r>
    <r>
      <rPr>
        <b/>
        <sz val="10.5"/>
        <color theme="1"/>
        <rFont val="Calibri"/>
        <family val="2"/>
      </rPr>
      <t>ệ</t>
    </r>
    <r>
      <rPr>
        <b/>
        <sz val="10.5"/>
        <color theme="1"/>
        <rFont val="SimSun"/>
        <charset val="134"/>
      </rPr>
      <t>t Nam – Bình D</t>
    </r>
    <r>
      <rPr>
        <b/>
        <sz val="10.5"/>
        <color theme="1"/>
        <rFont val="Segoe UI"/>
        <family val="2"/>
      </rPr>
      <t>ươ</t>
    </r>
    <r>
      <rPr>
        <b/>
        <sz val="10.5"/>
        <color theme="1"/>
        <rFont val="SimSun"/>
        <charset val="134"/>
      </rPr>
      <t>ng 2026 (17–19/06/2026).
依據合約編號 VIMF BD26_HONG MING，支付第2期款項（50%），用於參加「2026年越南工業製造展（平陽）」（2026年06月17日至19日）之相關費用。</t>
    </r>
    <phoneticPr fontId="18" type="noConversion"/>
  </si>
  <si>
    <t>CÔNG TY TNHH MTV CÔNG NGHỆ BÁCH DUY</t>
    <phoneticPr fontId="18" type="noConversion"/>
  </si>
  <si>
    <t>ACB - CN HCM</t>
    <phoneticPr fontId="18" type="noConversion"/>
  </si>
  <si>
    <t>CONG TY CO PHAN CONG NGHE OMI</t>
    <phoneticPr fontId="18" type="noConversion"/>
  </si>
  <si>
    <t>报单号：20260521</t>
    <phoneticPr fontId="18" type="noConversion"/>
  </si>
  <si>
    <r>
      <t xml:space="preserve">Thanh toán OMI CALL Theo HĐ: 170/2026/OMICALL/HONGMING ngày 18/05/2026 ST 14,300,000 đ và Theo HĐ: 171/2026/DINHDANH/HONGMING ngày 18/05/2026 ST 2,500,000 đ 
</t>
    </r>
    <r>
      <rPr>
        <b/>
        <sz val="10.5"/>
        <color theme="1"/>
        <rFont val="微軟正黑體"/>
        <family val="2"/>
        <charset val="136"/>
      </rPr>
      <t>支付</t>
    </r>
    <r>
      <rPr>
        <b/>
        <sz val="10.5"/>
        <color theme="1"/>
        <rFont val="Calibri"/>
        <family val="2"/>
      </rPr>
      <t xml:space="preserve"> OMI CALL </t>
    </r>
    <r>
      <rPr>
        <b/>
        <sz val="10.5"/>
        <color theme="1"/>
        <rFont val="微軟正黑體"/>
        <family val="2"/>
        <charset val="136"/>
      </rPr>
      <t>費用，依據</t>
    </r>
    <r>
      <rPr>
        <b/>
        <sz val="10.5"/>
        <color theme="1"/>
        <rFont val="Calibri"/>
        <family val="2"/>
      </rPr>
      <t xml:space="preserve"> 2026/05/18 </t>
    </r>
    <r>
      <rPr>
        <b/>
        <sz val="10.5"/>
        <color theme="1"/>
        <rFont val="微軟正黑體"/>
        <family val="2"/>
        <charset val="136"/>
      </rPr>
      <t>第</t>
    </r>
    <r>
      <rPr>
        <b/>
        <sz val="10.5"/>
        <color theme="1"/>
        <rFont val="Calibri"/>
        <family val="2"/>
      </rPr>
      <t xml:space="preserve"> 170/2026/OMICALL/HONGMING </t>
    </r>
    <r>
      <rPr>
        <b/>
        <sz val="10.5"/>
        <color theme="1"/>
        <rFont val="微軟正黑體"/>
        <family val="2"/>
        <charset val="136"/>
      </rPr>
      <t>號合約，金額為</t>
    </r>
    <r>
      <rPr>
        <b/>
        <sz val="10.5"/>
        <color theme="1"/>
        <rFont val="Calibri"/>
        <family val="2"/>
      </rPr>
      <t xml:space="preserve"> 14,300,000 </t>
    </r>
    <r>
      <rPr>
        <b/>
        <sz val="10.5"/>
        <color theme="1"/>
        <rFont val="微軟正黑體"/>
        <family val="2"/>
        <charset val="136"/>
      </rPr>
      <t>越南盾；以及依據</t>
    </r>
    <r>
      <rPr>
        <b/>
        <sz val="10.5"/>
        <color theme="1"/>
        <rFont val="Calibri"/>
        <family val="2"/>
      </rPr>
      <t xml:space="preserve"> 2026/05/18 </t>
    </r>
    <r>
      <rPr>
        <b/>
        <sz val="10.5"/>
        <color theme="1"/>
        <rFont val="微軟正黑體"/>
        <family val="2"/>
        <charset val="136"/>
      </rPr>
      <t>第</t>
    </r>
    <r>
      <rPr>
        <b/>
        <sz val="10.5"/>
        <color theme="1"/>
        <rFont val="Calibri"/>
        <family val="2"/>
      </rPr>
      <t xml:space="preserve"> 171/2026/DINHDANH/HONGMING </t>
    </r>
    <r>
      <rPr>
        <b/>
        <sz val="10.5"/>
        <color theme="1"/>
        <rFont val="微軟正黑體"/>
        <family val="2"/>
        <charset val="136"/>
      </rPr>
      <t>號合約，金額為</t>
    </r>
    <r>
      <rPr>
        <b/>
        <sz val="10.5"/>
        <color theme="1"/>
        <rFont val="Calibri"/>
        <family val="2"/>
      </rPr>
      <t xml:space="preserve"> 2,500,000 </t>
    </r>
    <r>
      <rPr>
        <b/>
        <sz val="10.5"/>
        <color theme="1"/>
        <rFont val="微軟正黑體"/>
        <family val="2"/>
        <charset val="136"/>
      </rPr>
      <t>越南盾。</t>
    </r>
    <phoneticPr fontId="18" type="noConversion"/>
  </si>
  <si>
    <t>CONG TY TNHH FINEPRO AUTOMATION</t>
  </si>
  <si>
    <t>Shinhanbank</t>
  </si>
  <si>
    <t>CONG TY TNHH TRẢI NGHIỆM HAHA EXE</t>
  </si>
  <si>
    <r>
      <t xml:space="preserve"> Thanh toán máy laptop</t>
    </r>
    <r>
      <rPr>
        <b/>
        <sz val="10.5"/>
        <color theme="1"/>
        <rFont val="SimSun"/>
        <charset val="134"/>
      </rPr>
      <t xml:space="preserve"> S</t>
    </r>
    <r>
      <rPr>
        <b/>
        <sz val="10.5"/>
        <color theme="1"/>
        <rFont val="Calibri"/>
        <family val="2"/>
      </rPr>
      <t>ố</t>
    </r>
    <r>
      <rPr>
        <b/>
        <sz val="10.5"/>
        <color theme="1"/>
        <rFont val="SimSun"/>
        <charset val="134"/>
      </rPr>
      <t xml:space="preserve"> hóa </t>
    </r>
    <r>
      <rPr>
        <b/>
        <sz val="10.5"/>
        <color theme="1"/>
        <rFont val="Segoe UI"/>
        <family val="2"/>
      </rPr>
      <t>đơ</t>
    </r>
    <r>
      <rPr>
        <b/>
        <sz val="10.5"/>
        <color theme="1"/>
        <rFont val="SimSun"/>
        <charset val="134"/>
      </rPr>
      <t>n: 170
付款買笔记本电脑發票號： 170</t>
    </r>
  </si>
  <si>
    <t>报单号：20260622-1</t>
  </si>
  <si>
    <t>CTY TNHH TM TOAN PHU GIAI</t>
  </si>
  <si>
    <t>ACB - PGD HUYNH TAN PHAT</t>
  </si>
  <si>
    <t>报单号：20260707-1</t>
  </si>
  <si>
    <r>
      <t>Thanh toán phí Sau khi ký h</t>
    </r>
    <r>
      <rPr>
        <b/>
        <sz val="10.5"/>
        <color theme="1"/>
        <rFont val="Calibri"/>
        <family val="2"/>
      </rPr>
      <t>ợ</t>
    </r>
    <r>
      <rPr>
        <b/>
        <sz val="10.5"/>
        <color theme="1"/>
        <rFont val="SimSun"/>
        <charset val="134"/>
      </rPr>
      <t xml:space="preserve">p </t>
    </r>
    <r>
      <rPr>
        <b/>
        <sz val="10.5"/>
        <color theme="1"/>
        <rFont val="Segoe UI"/>
        <family val="2"/>
      </rPr>
      <t>đ</t>
    </r>
    <r>
      <rPr>
        <b/>
        <sz val="10.5"/>
        <color theme="1"/>
        <rFont val="Calibri"/>
        <family val="2"/>
      </rPr>
      <t>ồ</t>
    </r>
    <r>
      <rPr>
        <b/>
        <sz val="10.5"/>
        <color theme="1"/>
        <rFont val="SimSun"/>
        <charset val="134"/>
      </rPr>
      <t>ng thanh toán 65% giá tr</t>
    </r>
    <r>
      <rPr>
        <b/>
        <sz val="10.5"/>
        <color theme="1"/>
        <rFont val="Calibri"/>
        <family val="2"/>
      </rPr>
      <t>ị</t>
    </r>
    <r>
      <rPr>
        <b/>
        <sz val="10.5"/>
        <color theme="1"/>
        <rFont val="SimSun"/>
        <charset val="134"/>
      </rPr>
      <t xml:space="preserve"> h</t>
    </r>
    <r>
      <rPr>
        <b/>
        <sz val="10.5"/>
        <color theme="1"/>
        <rFont val="Calibri"/>
        <family val="2"/>
      </rPr>
      <t>ợ</t>
    </r>
    <r>
      <rPr>
        <b/>
        <sz val="10.5"/>
        <color theme="1"/>
        <rFont val="SimSun"/>
        <charset val="134"/>
      </rPr>
      <t xml:space="preserve">p </t>
    </r>
    <r>
      <rPr>
        <b/>
        <sz val="10.5"/>
        <color theme="1"/>
        <rFont val="Segoe UI"/>
        <family val="2"/>
      </rPr>
      <t>đ</t>
    </r>
    <r>
      <rPr>
        <b/>
        <sz val="10.5"/>
        <color theme="1"/>
        <rFont val="Calibri"/>
        <family val="2"/>
      </rPr>
      <t>ồ</t>
    </r>
    <r>
      <rPr>
        <b/>
        <sz val="10.5"/>
        <color theme="1"/>
        <rFont val="SimSun"/>
        <charset val="134"/>
      </rPr>
      <t>ng và phụ lục hợp đồng phát sinh 304.667.981 vnd.
支付簽訂合約後之款項：支付合約金額及追加合約附錄金額的 65%，共計 304,667,981 越南盾。</t>
    </r>
  </si>
  <si>
    <r>
      <t>制单</t>
    </r>
    <r>
      <rPr>
        <sz val="11"/>
        <color theme="1"/>
        <rFont val="SimSun"/>
        <family val="1"/>
      </rPr>
      <t xml:space="preserve">
Prepared by
BÙI THỊ THANH TIỀN</t>
    </r>
  </si>
  <si>
    <t>CONG TY TNHH A&amp;B VIET NAM</t>
  </si>
  <si>
    <t>0201000700555</t>
  </si>
  <si>
    <t>Ngân hàng Vietcombank - CN Hà Tĩnh</t>
  </si>
  <si>
    <t>Ngân Hàng TMCP Á Châu (ACB) - CN Bắc Sài Gòn</t>
  </si>
  <si>
    <r>
      <t>制单</t>
    </r>
    <r>
      <rPr>
        <sz val="11"/>
        <color theme="1"/>
        <rFont val="Times New Roman"/>
        <family val="1"/>
      </rPr>
      <t xml:space="preserve">
Prepared by</t>
    </r>
    <r>
      <rPr>
        <sz val="11"/>
        <color theme="1"/>
        <rFont val="SimSun"/>
        <charset val="134"/>
      </rPr>
      <t xml:space="preserve">
BÙI TH</t>
    </r>
    <r>
      <rPr>
        <sz val="11"/>
        <color theme="1"/>
        <rFont val="Times New Roman"/>
        <family val="1"/>
      </rPr>
      <t>Ị THANH TIỀN</t>
    </r>
  </si>
  <si>
    <t>Thanh toán phí vận chuyển HAWB 000004587 số hóa đơn: 046
支付 HAWB 000004587 貨運費(寄R-Optimizer® V21到中國）發票號：046</t>
  </si>
  <si>
    <t>报单号：20260803</t>
  </si>
  <si>
    <t>报单号：20260803-01</t>
  </si>
  <si>
    <t>CÔNG TY TNHH GIAO NHẬN HÀNG HẢI ĐỨC TRƯỜNG THỊNH</t>
  </si>
  <si>
    <t>ACB – PGD Nguyễn Biểu</t>
  </si>
  <si>
    <t>Thanh toán cước vận chuyển hàng không (Air Freight + Origin Charge)、Phí đích (Destination Charge) và Phí lưu kho theo Debit Note số DTTDAE-080526 ngày 05/08/2026 (Master B/L: 29773884764, House B/L: DAE2607083). Tổng số tiền thanh toán: 7.061.240 VND. 依據 Debit Note 編號 DTTDAE-080526（2026/08/05），支付空運費（Air Freight + Origin Charge）、目的港費用（Destination Charge）及倉儲費（Storage Charge），Master B/L：29773884764，House B/L：DAE2607083，合計 VND 7.061.240</t>
  </si>
  <si>
    <t>ACB - CN HCM</t>
  </si>
  <si>
    <t>收款单位
The collection unit</t>
  </si>
  <si>
    <r>
      <rPr>
        <sz val="11"/>
        <rFont val="宋体"/>
        <charset val="136"/>
      </rPr>
      <t>付款原因</t>
    </r>
    <r>
      <rPr>
        <sz val="11"/>
        <rFont val="Times New Roman"/>
        <family val="1"/>
      </rPr>
      <t xml:space="preserve">
The reason for payment</t>
    </r>
  </si>
  <si>
    <t>账号
Account number</t>
  </si>
  <si>
    <t>开户行
Open an account</t>
  </si>
  <si>
    <r>
      <rPr>
        <sz val="11"/>
        <rFont val="宋体"/>
        <charset val="136"/>
      </rPr>
      <t xml:space="preserve">金额（大写）
</t>
    </r>
    <r>
      <rPr>
        <sz val="11"/>
        <rFont val="Times New Roman"/>
        <family val="1"/>
      </rPr>
      <t>Sum (capital)</t>
    </r>
  </si>
  <si>
    <t>附件
Accessory</t>
  </si>
  <si>
    <r>
      <rPr>
        <sz val="11"/>
        <rFont val="SimSun"/>
        <charset val="134"/>
      </rPr>
      <t>金额</t>
    </r>
  </si>
  <si>
    <r>
      <rPr>
        <sz val="11"/>
        <rFont val="宋体"/>
        <charset val="136"/>
      </rPr>
      <t>约</t>
    </r>
  </si>
  <si>
    <r>
      <rPr>
        <sz val="11"/>
        <rFont val="SimSun"/>
        <charset val="134"/>
      </rPr>
      <t>经理</t>
    </r>
    <r>
      <rPr>
        <sz val="11"/>
        <rFont val="Times New Roman"/>
        <family val="1"/>
      </rPr>
      <t xml:space="preserve">
Director</t>
    </r>
  </si>
  <si>
    <r>
      <rPr>
        <sz val="11"/>
        <rFont val="SimSun"/>
        <charset val="134"/>
      </rPr>
      <t>会计</t>
    </r>
    <r>
      <rPr>
        <sz val="11"/>
        <rFont val="Times New Roman"/>
        <family val="1"/>
      </rPr>
      <t xml:space="preserve">
Accountant</t>
    </r>
  </si>
  <si>
    <r>
      <rPr>
        <sz val="11"/>
        <rFont val="SimSun"/>
        <charset val="134"/>
      </rPr>
      <t>审核</t>
    </r>
    <r>
      <rPr>
        <sz val="11"/>
        <rFont val="Times New Roman"/>
        <family val="1"/>
      </rPr>
      <t xml:space="preserve">
Checker</t>
    </r>
  </si>
  <si>
    <r>
      <t>单位主管</t>
    </r>
    <r>
      <rPr>
        <sz val="11"/>
        <rFont val="Times New Roman"/>
        <family val="1"/>
      </rPr>
      <t xml:space="preserve">
Supervisor</t>
    </r>
  </si>
  <si>
    <r>
      <t>制单</t>
    </r>
    <r>
      <rPr>
        <sz val="11"/>
        <rFont val="SimSun"/>
        <family val="1"/>
      </rPr>
      <t xml:space="preserve">
Prepared by
BÙI THỊ THANH TIỀN</t>
    </r>
  </si>
  <si>
    <r>
      <t>Thanh toán phí d</t>
    </r>
    <r>
      <rPr>
        <b/>
        <sz val="10.5"/>
        <rFont val="Calibri"/>
        <family val="2"/>
      </rPr>
      <t>ị</t>
    </r>
    <r>
      <rPr>
        <b/>
        <sz val="10.5"/>
        <rFont val="SimSun"/>
        <charset val="134"/>
      </rPr>
      <t>ch v</t>
    </r>
    <r>
      <rPr>
        <b/>
        <sz val="10.5"/>
        <rFont val="Calibri"/>
        <family val="2"/>
      </rPr>
      <t xml:space="preserve">ụ </t>
    </r>
    <r>
      <rPr>
        <b/>
        <sz val="10.5"/>
        <rFont val="SimSun"/>
        <charset val="134"/>
      </rPr>
      <t>phíbáo cáo ngân hàng tháng 08/2026
支付 2026 年 8 月份銀行報告服務費。</t>
    </r>
  </si>
  <si>
    <t>报单号：20260908</t>
  </si>
  <si>
    <r>
      <t>TT</t>
    </r>
    <r>
      <rPr>
        <b/>
        <sz val="10.5"/>
        <color theme="1"/>
        <rFont val="Calibri"/>
        <family val="2"/>
      </rPr>
      <t xml:space="preserve"> BHXH CHO CNV T09,2026</t>
    </r>
    <r>
      <rPr>
        <b/>
        <sz val="10.5"/>
        <color theme="1"/>
        <rFont val="SimSun"/>
        <charset val="134"/>
      </rPr>
      <t xml:space="preserve">
付款2026</t>
    </r>
    <r>
      <rPr>
        <b/>
        <sz val="10.5"/>
        <color theme="1"/>
        <rFont val="Calibri"/>
        <family val="2"/>
      </rPr>
      <t>,09</t>
    </r>
    <r>
      <rPr>
        <b/>
        <sz val="10.5"/>
        <color theme="1"/>
        <rFont val="SimSun"/>
        <charset val="134"/>
      </rPr>
      <t>月分员工社会保险</t>
    </r>
  </si>
  <si>
    <t>报单号：20260911</t>
  </si>
  <si>
    <t>Thanh toán đợt 1(30% giá trị hợp đồng) theo Hợp đồng kinh tế số 07.09.2026/CHENGFENG/HM-AB – TT chi phí thi công hệ thống cáp cho 42 máy 依據經濟合約編號 07.09.2026/CHENGFENG/HM-AB，支付第一期款項（合約總價值的30%）——支付42台機器電纜系統施工費用。</t>
  </si>
  <si>
    <t xml:space="preserve">Thanh toán chi phí Thu Thập dữ liệu máy dập Hóa Đơn: 055 支付沖壓機資料收集費用，發票號碼：055
</t>
  </si>
  <si>
    <t>报单号：HMV002-20260925-1</t>
  </si>
  <si>
    <t>THANH TOÁN MUA PIN MÁY QUÉT MÃ VẠCH RFR900 (HD: 185)
支付 RFR900 條碼掃描器電池購買費（發票：185）</t>
  </si>
  <si>
    <t>报单号：HMV002-20260925-3</t>
  </si>
  <si>
    <t>Thanh toán chi phí vé máy bay công tác theo HĐGTGT số 1539 18/09/2026. 支付出差機票費用（依增值稅發票：2026/09/18－1539）</t>
  </si>
  <si>
    <t>报单号：HMV002-20260925-5</t>
  </si>
  <si>
    <t>报单号：20260925-6</t>
  </si>
  <si>
    <t>Thanh toán đợt 2 (65% giá trị hợp đồng) theo Hợp đồng kinh tế số 17.07.2026/SEIYO/HM-AB – Tạm ứng chi phí thi công hệ thống IoT giai đoạn I cho Nhà máy SEIYO.依據經濟合約編號 17.07.2026/SEIYO/HM-AB，支付第2期工程款（合約總金額65%）－SEIYO 廠第一期 IoT 系統建置工程預付款。</t>
  </si>
  <si>
    <t>CÔNG TY TNHH TÍN BẢO LAN</t>
  </si>
  <si>
    <t>1043233195</t>
  </si>
  <si>
    <t>Ngân Hàng TMCP Ngoại Thương Việt Nam - CN Kỳ Đồng, HCM</t>
  </si>
  <si>
    <r>
      <t xml:space="preserve">Thanh toán tiền vé máy bay theo hóa đơn 107
</t>
    </r>
    <r>
      <rPr>
        <b/>
        <sz val="10.5"/>
        <color theme="1"/>
        <rFont val="微軟正黑體"/>
        <family val="2"/>
        <charset val="136"/>
      </rPr>
      <t>根據第</t>
    </r>
    <r>
      <rPr>
        <b/>
        <sz val="10.5"/>
        <color theme="1"/>
        <rFont val="Calibri"/>
        <family val="2"/>
      </rPr>
      <t xml:space="preserve"> 107</t>
    </r>
    <r>
      <rPr>
        <b/>
        <sz val="10.5"/>
        <color theme="1"/>
        <rFont val="微軟正黑體"/>
        <family val="2"/>
        <charset val="136"/>
      </rPr>
      <t>號發票支付機票費用。</t>
    </r>
  </si>
  <si>
    <t>报单号：HMV002-20261010-1</t>
  </si>
  <si>
    <r>
      <t>TT</t>
    </r>
    <r>
      <rPr>
        <b/>
        <sz val="10.5"/>
        <color theme="1"/>
        <rFont val="Calibri"/>
        <family val="2"/>
      </rPr>
      <t xml:space="preserve"> LƯƠNG 2026/09 CHO CNV </t>
    </r>
    <r>
      <rPr>
        <b/>
        <sz val="10.5"/>
        <color theme="1"/>
        <rFont val="SimSun"/>
        <charset val="134"/>
      </rPr>
      <t xml:space="preserve">
支付2026</t>
    </r>
    <r>
      <rPr>
        <b/>
        <sz val="10.5"/>
        <color theme="1"/>
        <rFont val="Calibri"/>
        <family val="2"/>
      </rPr>
      <t>/09</t>
    </r>
    <r>
      <rPr>
        <b/>
        <sz val="10.5"/>
        <color theme="1"/>
        <rFont val="SimSun"/>
        <charset val="134"/>
      </rPr>
      <t>月分员工薪資</t>
    </r>
  </si>
  <si>
    <t>报单号：HMV002-20261010-3</t>
  </si>
  <si>
    <t>报单号：HMV002-20261010-4</t>
  </si>
  <si>
    <t>报单HMV002/20261025-1</t>
  </si>
  <si>
    <r>
      <t>Thanh toán phí d</t>
    </r>
    <r>
      <rPr>
        <b/>
        <sz val="10.5"/>
        <color theme="1"/>
        <rFont val="Calibri"/>
        <family val="2"/>
      </rPr>
      <t>ị</t>
    </r>
    <r>
      <rPr>
        <b/>
        <sz val="10.5"/>
        <color theme="1"/>
        <rFont val="SimSun"/>
        <charset val="134"/>
      </rPr>
      <t>ch v</t>
    </r>
    <r>
      <rPr>
        <b/>
        <sz val="10.5"/>
        <color theme="1"/>
        <rFont val="Calibri"/>
        <family val="2"/>
      </rPr>
      <t xml:space="preserve">ụ Tháng 10;11;12/2026 </t>
    </r>
    <r>
      <rPr>
        <b/>
        <sz val="10.5"/>
        <color theme="1"/>
        <rFont val="SimSun"/>
        <charset val="134"/>
      </rPr>
      <t>theo H</t>
    </r>
    <r>
      <rPr>
        <b/>
        <sz val="10.5"/>
        <color theme="1"/>
        <rFont val="Calibri"/>
        <family val="2"/>
      </rPr>
      <t>ợ</t>
    </r>
    <r>
      <rPr>
        <b/>
        <sz val="10.5"/>
        <color theme="1"/>
        <rFont val="SimSun"/>
        <charset val="134"/>
      </rPr>
      <t xml:space="preserve">p </t>
    </r>
    <r>
      <rPr>
        <b/>
        <sz val="10.5"/>
        <color theme="1"/>
        <rFont val="Segoe UI"/>
        <family val="2"/>
      </rPr>
      <t>đ</t>
    </r>
    <r>
      <rPr>
        <b/>
        <sz val="10.5"/>
        <color theme="1"/>
        <rFont val="Calibri"/>
        <family val="2"/>
      </rPr>
      <t>ồ</t>
    </r>
    <r>
      <rPr>
        <b/>
        <sz val="10.5"/>
        <color theme="1"/>
        <rFont val="SimSun"/>
        <charset val="134"/>
      </rPr>
      <t>ng s</t>
    </r>
    <r>
      <rPr>
        <b/>
        <sz val="10.5"/>
        <color theme="1"/>
        <rFont val="Calibri"/>
        <family val="2"/>
      </rPr>
      <t>ố</t>
    </r>
    <r>
      <rPr>
        <b/>
        <sz val="10.5"/>
        <color theme="1"/>
        <rFont val="SimSun"/>
        <charset val="134"/>
      </rPr>
      <t xml:space="preserve"> 0202/2026/HDDV04/TX-HONGMING Hóa đơn 187+255
根据合同编号0202/2026/HDDV04/TX-HONGMING支付服务费
2026</t>
    </r>
    <r>
      <rPr>
        <b/>
        <sz val="10.5"/>
        <color theme="1"/>
        <rFont val="Calibri"/>
        <family val="2"/>
      </rPr>
      <t>/10;11;12
Thanh Toán phí báo cáo ngân hàng nhà nước tháng 09.2026
支付 2026 年 09月份向越南國家銀行申報之報告費用。發票號： 187+255</t>
    </r>
  </si>
  <si>
    <r>
      <t xml:space="preserve">THANH TOÁN VPP HD: 1C26TGT_00001532 ngày 14.10.2026
</t>
    </r>
    <r>
      <rPr>
        <b/>
        <sz val="10.5"/>
        <color theme="1"/>
        <rFont val="微軟正黑體"/>
        <family val="2"/>
        <charset val="136"/>
      </rPr>
      <t>支付辦公用品</t>
    </r>
    <r>
      <rPr>
        <b/>
        <sz val="10.5"/>
        <color theme="1"/>
        <rFont val="Calibri"/>
        <family val="2"/>
      </rPr>
      <t>INV no: 1C26TGT_00001532 date 14.10.2026</t>
    </r>
  </si>
  <si>
    <t>报单号：HMV002/20261025-2</t>
  </si>
  <si>
    <t>CÔNG TY TNHH YẾN SÀO SONG KIM
TRAN KIM CHI</t>
  </si>
  <si>
    <t>050131909079</t>
  </si>
  <si>
    <t>Sacombank - Chi nhánh Bình Dương</t>
  </si>
  <si>
    <t>Thanh toán tiền mua quà 20/10 Hóa đơn 118 &amp; 119
支付20/10妇女节礼品费   
發票號：118&amp;119</t>
  </si>
  <si>
    <t>报单号：HMV002/20261020-1</t>
  </si>
  <si>
    <t>报单号：HMV007-20261020-1</t>
  </si>
  <si>
    <t>Thanh toán phí thủ tục hải quan cho lô hàng Tờ khai 108710876040 DATE 02/10/2026 &amp; 309039524160 DATE 08/10/2026 支付报关单号为108710876040 DATE 02/10/2026 &amp; 309039524160 DATE 08/10/2026 integration的货物报关手续费用。</t>
  </si>
  <si>
    <r>
      <t>制单</t>
    </r>
    <r>
      <rPr>
        <sz val="11"/>
        <color theme="1"/>
        <rFont val="Times New Roman"/>
        <family val="1"/>
      </rPr>
      <t xml:space="preserve">
Prepared by</t>
    </r>
    <r>
      <rPr>
        <sz val="11"/>
        <color theme="1"/>
        <rFont val="SimSun"/>
        <charset val="134"/>
      </rPr>
      <t xml:space="preserve">
</t>
    </r>
    <r>
      <rPr>
        <sz val="11"/>
        <color theme="1"/>
        <rFont val="Times New Roman"/>
        <family val="1"/>
      </rPr>
      <t>Nguyễn Sỹ Kim Bằng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</si>
</sst>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[DBNum2][$-404]General"/>
    <numFmt numFmtId="167" formatCode="_-* #,##0.0_-;\-* #,##0.0_-;_-* &quot;-&quot;??_-;_-@_-"/>
  </numFmts>
  <fonts count="69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宋体"/>
      <family val="3"/>
      <charset val="136"/>
    </font>
    <font>
      <b/>
      <sz val="10.5"/>
      <color theme="1"/>
      <name val="Times New Roman"/>
      <family val="1"/>
    </font>
    <font>
      <i/>
      <sz val="11"/>
      <color theme="1"/>
      <name val="SimSun"/>
      <charset val="134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DengXian"/>
      <charset val="134"/>
    </font>
    <font>
      <sz val="11"/>
      <color theme="1"/>
      <name val="SimSun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charset val="136"/>
    </font>
    <font>
      <sz val="11"/>
      <color theme="0"/>
      <name val="DengXian"/>
      <charset val="134"/>
    </font>
    <font>
      <sz val="11"/>
      <color theme="1"/>
      <name val="Calibri"/>
      <family val="2"/>
      <scheme val="minor"/>
    </font>
    <font>
      <b/>
      <sz val="11"/>
      <color theme="1"/>
      <name val="SimSun"/>
      <charset val="134"/>
    </font>
    <font>
      <sz val="9"/>
      <name val="Calibri"/>
      <family val="3"/>
      <charset val="136"/>
      <scheme val="minor"/>
    </font>
    <font>
      <b/>
      <sz val="14"/>
      <color theme="1"/>
      <name val="SimSun"/>
      <charset val="134"/>
    </font>
    <font>
      <b/>
      <sz val="10.5"/>
      <color theme="1"/>
      <name val="SimSun"/>
      <charset val="134"/>
    </font>
    <font>
      <b/>
      <sz val="12"/>
      <color theme="1"/>
      <name val="Calibri"/>
      <family val="2"/>
    </font>
    <font>
      <b/>
      <sz val="10.5"/>
      <color theme="1"/>
      <name val="Calibri"/>
      <family val="2"/>
    </font>
    <font>
      <b/>
      <sz val="10.5"/>
      <color theme="1"/>
      <name val="Segoe UI"/>
      <family val="2"/>
    </font>
    <font>
      <b/>
      <sz val="10.5"/>
      <color theme="1"/>
      <name val="Microsoft YaHei"/>
      <family val="2"/>
      <charset val="134"/>
    </font>
    <font>
      <b/>
      <sz val="12"/>
      <color theme="1"/>
      <name val="DengXian"/>
      <charset val="134"/>
    </font>
    <font>
      <i/>
      <sz val="11"/>
      <color theme="1"/>
      <name val="Calibri"/>
      <family val="2"/>
    </font>
    <font>
      <b/>
      <sz val="10.5"/>
      <color theme="1"/>
      <name val="微軟正黑體"/>
      <family val="2"/>
      <charset val="136"/>
    </font>
    <font>
      <b/>
      <sz val="12"/>
      <color theme="1"/>
      <name val="DengXian"/>
      <charset val="134"/>
    </font>
    <font>
      <sz val="11"/>
      <color theme="1"/>
      <name val="微軟正黑體"/>
      <family val="1"/>
      <charset val="136"/>
    </font>
    <font>
      <b/>
      <sz val="12"/>
      <color theme="1"/>
      <name val="DengXian"/>
      <charset val="134"/>
    </font>
    <font>
      <b/>
      <sz val="12"/>
      <color theme="1"/>
      <name val="DengXian"/>
      <charset val="134"/>
    </font>
    <font>
      <sz val="11"/>
      <color theme="1"/>
      <name val="SimSun"/>
      <family val="1"/>
    </font>
    <font>
      <sz val="11"/>
      <color theme="1"/>
      <name val="SimSun"/>
      <charset val="134"/>
    </font>
    <font>
      <b/>
      <sz val="11"/>
      <color theme="1"/>
      <name val="Calibri"/>
      <family val="2"/>
    </font>
    <font>
      <sz val="11"/>
      <color theme="1"/>
      <name val="SimSun"/>
      <charset val="134"/>
    </font>
    <font>
      <b/>
      <sz val="10.5"/>
      <color theme="1"/>
      <name val="Biome"/>
      <family val="2"/>
    </font>
    <font>
      <b/>
      <sz val="12"/>
      <color theme="1"/>
      <name val="DengXian"/>
      <charset val="134"/>
    </font>
    <font>
      <b/>
      <sz val="10.5"/>
      <color theme="1"/>
      <name val="SimSun"/>
      <charset val="134"/>
    </font>
    <font>
      <b/>
      <sz val="12"/>
      <color theme="1"/>
      <name val="DengXian"/>
      <charset val="134"/>
    </font>
    <font>
      <b/>
      <sz val="12"/>
      <color rgb="FFFF0000"/>
      <name val="Times New Roman"/>
      <family val="1"/>
    </font>
    <font>
      <b/>
      <sz val="10.5"/>
      <color rgb="FFFF0000"/>
      <name val="Calibri"/>
      <family val="2"/>
      <charset val="163"/>
    </font>
    <font>
      <b/>
      <sz val="10.5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1"/>
      <color rgb="FFFF0000"/>
      <name val="SimSun"/>
    </font>
    <font>
      <b/>
      <sz val="12"/>
      <color theme="1"/>
      <name val="DengXian"/>
    </font>
    <font>
      <b/>
      <sz val="14"/>
      <name val="SimSun"/>
      <charset val="134"/>
    </font>
    <font>
      <b/>
      <sz val="14"/>
      <name val="Times New Roman"/>
      <family val="1"/>
    </font>
    <font>
      <sz val="11"/>
      <name val="Times New Roman"/>
      <family val="1"/>
    </font>
    <font>
      <b/>
      <sz val="12"/>
      <name val="DengXian"/>
    </font>
    <font>
      <b/>
      <sz val="12"/>
      <name val="Times New Roman"/>
      <family val="1"/>
    </font>
    <font>
      <sz val="11"/>
      <name val="宋体"/>
      <family val="3"/>
      <charset val="136"/>
    </font>
    <font>
      <sz val="11"/>
      <name val="宋体"/>
      <charset val="136"/>
    </font>
    <font>
      <sz val="11"/>
      <name val="Times New Roman"/>
      <family val="1"/>
      <charset val="163"/>
    </font>
    <font>
      <b/>
      <sz val="10.5"/>
      <name val="Calibri"/>
      <family val="2"/>
      <charset val="163"/>
    </font>
    <font>
      <b/>
      <sz val="10.5"/>
      <name val="Calibri"/>
      <family val="2"/>
    </font>
    <font>
      <b/>
      <sz val="10.5"/>
      <name val="SimSun"/>
      <charset val="134"/>
    </font>
    <font>
      <b/>
      <sz val="10.5"/>
      <name val="Times New Roman"/>
      <family val="1"/>
      <charset val="163"/>
    </font>
    <font>
      <b/>
      <sz val="11"/>
      <name val="Times New Roman"/>
      <family val="1"/>
    </font>
    <font>
      <i/>
      <sz val="11"/>
      <name val="SimSun"/>
      <charset val="134"/>
    </font>
    <font>
      <b/>
      <sz val="11"/>
      <name val="SimSun"/>
    </font>
    <font>
      <sz val="11"/>
      <name val="DengXian"/>
      <charset val="134"/>
    </font>
    <font>
      <b/>
      <sz val="11"/>
      <name val="SimSun"/>
      <charset val="134"/>
    </font>
    <font>
      <i/>
      <sz val="11"/>
      <name val="Calibri"/>
      <family val="2"/>
    </font>
    <font>
      <i/>
      <sz val="11"/>
      <name val="Times New Roman"/>
      <family val="1"/>
    </font>
    <font>
      <sz val="11"/>
      <name val="SimSun"/>
      <charset val="134"/>
    </font>
    <font>
      <sz val="11"/>
      <name val="Calibri"/>
      <charset val="134"/>
      <scheme val="minor"/>
    </font>
    <font>
      <sz val="11"/>
      <name val="SimSun"/>
      <family val="1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6" fillId="0" borderId="7" xfId="0" applyFont="1" applyBorder="1" applyAlignment="1">
      <alignment vertical="center" wrapText="1"/>
    </xf>
    <xf numFmtId="165" fontId="7" fillId="0" borderId="0" xfId="1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165" fontId="7" fillId="0" borderId="2" xfId="1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65" fontId="7" fillId="0" borderId="2" xfId="1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3" fontId="1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wrapText="1"/>
    </xf>
    <xf numFmtId="0" fontId="1" fillId="0" borderId="11" xfId="0" applyFont="1" applyBorder="1"/>
    <xf numFmtId="165" fontId="17" fillId="0" borderId="7" xfId="1" applyNumberFormat="1" applyFont="1" applyBorder="1" applyAlignment="1">
      <alignment vertical="center" wrapText="1"/>
    </xf>
    <xf numFmtId="167" fontId="1" fillId="0" borderId="0" xfId="1" applyNumberFormat="1" applyFont="1" applyAlignment="1">
      <alignment wrapText="1"/>
    </xf>
    <xf numFmtId="0" fontId="25" fillId="0" borderId="0" xfId="0" applyFont="1"/>
    <xf numFmtId="0" fontId="1" fillId="0" borderId="0" xfId="0" quotePrefix="1" applyFont="1" applyAlignment="1">
      <alignment vertical="center"/>
    </xf>
    <xf numFmtId="0" fontId="26" fillId="0" borderId="7" xfId="0" quotePrefix="1" applyFont="1" applyBorder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28" fillId="0" borderId="0" xfId="0" applyFont="1"/>
    <xf numFmtId="14" fontId="1" fillId="0" borderId="0" xfId="0" applyNumberFormat="1" applyFont="1"/>
    <xf numFmtId="0" fontId="30" fillId="0" borderId="0" xfId="0" applyFont="1"/>
    <xf numFmtId="0" fontId="31" fillId="0" borderId="0" xfId="0" applyFont="1"/>
    <xf numFmtId="165" fontId="34" fillId="0" borderId="7" xfId="1" quotePrefix="1" applyNumberFormat="1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7" fillId="0" borderId="7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7" fontId="1" fillId="0" borderId="0" xfId="1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9" fillId="0" borderId="0" xfId="0" applyFont="1"/>
    <xf numFmtId="165" fontId="44" fillId="0" borderId="7" xfId="1" applyNumberFormat="1" applyFont="1" applyBorder="1" applyAlignment="1">
      <alignment vertical="center" wrapText="1"/>
    </xf>
    <xf numFmtId="0" fontId="45" fillId="0" borderId="0" xfId="0" applyFont="1"/>
    <xf numFmtId="0" fontId="48" fillId="0" borderId="0" xfId="0" applyFont="1"/>
    <xf numFmtId="14" fontId="48" fillId="0" borderId="0" xfId="0" applyNumberFormat="1" applyFont="1"/>
    <xf numFmtId="0" fontId="49" fillId="0" borderId="0" xfId="0" applyFont="1"/>
    <xf numFmtId="0" fontId="48" fillId="0" borderId="1" xfId="0" applyFont="1" applyBorder="1" applyAlignment="1">
      <alignment vertical="center" wrapText="1"/>
    </xf>
    <xf numFmtId="0" fontId="48" fillId="0" borderId="1" xfId="0" applyFont="1" applyBorder="1" applyAlignment="1">
      <alignment wrapText="1"/>
    </xf>
    <xf numFmtId="3" fontId="58" fillId="0" borderId="0" xfId="0" applyNumberFormat="1" applyFont="1" applyAlignment="1">
      <alignment horizontal="right" vertical="center" wrapText="1"/>
    </xf>
    <xf numFmtId="0" fontId="59" fillId="0" borderId="7" xfId="0" applyFont="1" applyBorder="1" applyAlignment="1">
      <alignment vertical="center" wrapText="1"/>
    </xf>
    <xf numFmtId="165" fontId="60" fillId="0" borderId="7" xfId="1" applyNumberFormat="1" applyFont="1" applyBorder="1" applyAlignment="1">
      <alignment vertical="center" wrapText="1"/>
    </xf>
    <xf numFmtId="0" fontId="48" fillId="0" borderId="0" xfId="0" applyFont="1" applyAlignment="1">
      <alignment wrapText="1"/>
    </xf>
    <xf numFmtId="3" fontId="48" fillId="0" borderId="0" xfId="0" applyNumberFormat="1" applyFont="1"/>
    <xf numFmtId="0" fontId="48" fillId="0" borderId="0" xfId="0" quotePrefix="1" applyFont="1" applyAlignment="1">
      <alignment vertical="center"/>
    </xf>
    <xf numFmtId="165" fontId="62" fillId="0" borderId="7" xfId="1" applyNumberFormat="1" applyFont="1" applyBorder="1" applyAlignment="1">
      <alignment vertical="center" wrapText="1"/>
    </xf>
    <xf numFmtId="0" fontId="48" fillId="0" borderId="0" xfId="0" applyFont="1" applyAlignment="1">
      <alignment vertical="center"/>
    </xf>
    <xf numFmtId="0" fontId="63" fillId="0" borderId="7" xfId="0" quotePrefix="1" applyFont="1" applyBorder="1" applyAlignment="1">
      <alignment vertical="center" wrapText="1"/>
    </xf>
    <xf numFmtId="165" fontId="48" fillId="0" borderId="0" xfId="0" applyNumberFormat="1" applyFont="1" applyAlignment="1">
      <alignment wrapText="1"/>
    </xf>
    <xf numFmtId="0" fontId="64" fillId="0" borderId="0" xfId="0" quotePrefix="1" applyFont="1" applyAlignment="1">
      <alignment vertical="center" wrapText="1"/>
    </xf>
    <xf numFmtId="0" fontId="48" fillId="0" borderId="2" xfId="0" applyFont="1" applyBorder="1" applyAlignment="1">
      <alignment horizontal="center" vertical="center" wrapText="1"/>
    </xf>
    <xf numFmtId="165" fontId="58" fillId="0" borderId="2" xfId="1" applyNumberFormat="1" applyFont="1" applyBorder="1" applyAlignment="1">
      <alignment vertical="center" wrapText="1"/>
    </xf>
    <xf numFmtId="0" fontId="48" fillId="0" borderId="4" xfId="0" applyFont="1" applyBorder="1" applyAlignment="1">
      <alignment horizontal="left" vertical="center"/>
    </xf>
    <xf numFmtId="0" fontId="65" fillId="0" borderId="0" xfId="0" applyFont="1" applyAlignment="1">
      <alignment vertical="center"/>
    </xf>
    <xf numFmtId="0" fontId="48" fillId="0" borderId="11" xfId="0" applyFont="1" applyBorder="1"/>
    <xf numFmtId="167" fontId="48" fillId="0" borderId="0" xfId="1" applyNumberFormat="1" applyFont="1" applyAlignment="1">
      <alignment wrapText="1"/>
    </xf>
    <xf numFmtId="165" fontId="58" fillId="0" borderId="2" xfId="1" applyNumberFormat="1" applyFont="1" applyBorder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3" fontId="48" fillId="0" borderId="0" xfId="0" applyNumberFormat="1" applyFont="1" applyAlignment="1">
      <alignment vertical="center" wrapText="1"/>
    </xf>
    <xf numFmtId="0" fontId="66" fillId="0" borderId="0" xfId="0" applyFont="1"/>
    <xf numFmtId="0" fontId="48" fillId="0" borderId="1" xfId="0" applyFont="1" applyBorder="1" applyAlignment="1">
      <alignment horizontal="center" vertical="top" wrapText="1"/>
    </xf>
    <xf numFmtId="0" fontId="65" fillId="0" borderId="1" xfId="0" applyFont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2" xfId="0" quotePrefix="1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68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40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1" fontId="43" fillId="0" borderId="2" xfId="0" quotePrefix="1" applyNumberFormat="1" applyFont="1" applyBorder="1" applyAlignment="1">
      <alignment horizontal="center" vertical="center" wrapText="1"/>
    </xf>
    <xf numFmtId="1" fontId="43" fillId="0" borderId="3" xfId="0" applyNumberFormat="1" applyFont="1" applyBorder="1" applyAlignment="1">
      <alignment horizontal="center" vertical="center"/>
    </xf>
    <xf numFmtId="1" fontId="43" fillId="0" borderId="4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" fontId="43" fillId="0" borderId="2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top" wrapText="1"/>
    </xf>
    <xf numFmtId="0" fontId="48" fillId="0" borderId="5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65" fillId="0" borderId="2" xfId="0" applyFont="1" applyBorder="1" applyAlignment="1">
      <alignment horizontal="center" vertical="top" wrapText="1"/>
    </xf>
    <xf numFmtId="0" fontId="58" fillId="0" borderId="3" xfId="0" applyFont="1" applyBorder="1" applyAlignment="1">
      <alignment horizontal="center" vertical="top" wrapText="1"/>
    </xf>
    <xf numFmtId="0" fontId="58" fillId="0" borderId="4" xfId="0" applyFont="1" applyBorder="1" applyAlignment="1">
      <alignment horizontal="center" vertical="top" wrapText="1"/>
    </xf>
    <xf numFmtId="1" fontId="53" fillId="0" borderId="2" xfId="0" applyNumberFormat="1" applyFont="1" applyBorder="1" applyAlignment="1">
      <alignment horizontal="center" vertical="center" wrapText="1"/>
    </xf>
    <xf numFmtId="1" fontId="53" fillId="0" borderId="3" xfId="0" applyNumberFormat="1" applyFont="1" applyBorder="1" applyAlignment="1">
      <alignment horizontal="center" vertical="center"/>
    </xf>
    <xf numFmtId="1" fontId="53" fillId="0" borderId="4" xfId="0" applyNumberFormat="1" applyFont="1" applyBorder="1" applyAlignment="1">
      <alignment horizontal="center" vertical="center"/>
    </xf>
    <xf numFmtId="0" fontId="48" fillId="0" borderId="8" xfId="0" applyFont="1" applyBorder="1" applyAlignment="1">
      <alignment horizontal="left" vertical="center" wrapText="1"/>
    </xf>
    <xf numFmtId="0" fontId="48" fillId="0" borderId="10" xfId="0" applyFont="1" applyBorder="1" applyAlignment="1">
      <alignment horizontal="left" vertical="center" wrapText="1"/>
    </xf>
    <xf numFmtId="0" fontId="48" fillId="0" borderId="12" xfId="0" applyFont="1" applyBorder="1" applyAlignment="1">
      <alignment horizontal="left" vertical="center" wrapText="1"/>
    </xf>
    <xf numFmtId="166" fontId="48" fillId="0" borderId="5" xfId="0" applyNumberFormat="1" applyFont="1" applyBorder="1" applyAlignment="1">
      <alignment horizontal="center" vertical="center"/>
    </xf>
    <xf numFmtId="166" fontId="48" fillId="0" borderId="6" xfId="0" applyNumberFormat="1" applyFont="1" applyBorder="1" applyAlignment="1">
      <alignment horizontal="center" vertical="center"/>
    </xf>
    <xf numFmtId="166" fontId="48" fillId="0" borderId="9" xfId="0" applyNumberFormat="1" applyFont="1" applyBorder="1" applyAlignment="1">
      <alignment horizontal="center" vertical="center"/>
    </xf>
    <xf numFmtId="166" fontId="48" fillId="0" borderId="7" xfId="0" applyNumberFormat="1" applyFont="1" applyBorder="1" applyAlignment="1">
      <alignment horizontal="center" vertical="center"/>
    </xf>
    <xf numFmtId="166" fontId="48" fillId="0" borderId="0" xfId="0" applyNumberFormat="1" applyFont="1" applyAlignment="1">
      <alignment horizontal="center" vertical="center"/>
    </xf>
    <xf numFmtId="166" fontId="48" fillId="0" borderId="11" xfId="0" applyNumberFormat="1" applyFont="1" applyBorder="1" applyAlignment="1">
      <alignment horizontal="center" vertical="center"/>
    </xf>
    <xf numFmtId="166" fontId="48" fillId="0" borderId="13" xfId="0" applyNumberFormat="1" applyFont="1" applyBorder="1" applyAlignment="1">
      <alignment horizontal="center" vertical="center"/>
    </xf>
    <xf numFmtId="166" fontId="48" fillId="0" borderId="14" xfId="0" applyNumberFormat="1" applyFont="1" applyBorder="1" applyAlignment="1">
      <alignment horizontal="center" vertical="center"/>
    </xf>
    <xf numFmtId="166" fontId="48" fillId="0" borderId="15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0" fillId="0" borderId="2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1" fontId="53" fillId="0" borderId="2" xfId="0" quotePrefix="1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13</xdr:row>
      <xdr:rowOff>393700</xdr:rowOff>
    </xdr:from>
    <xdr:to>
      <xdr:col>7</xdr:col>
      <xdr:colOff>159861</xdr:colOff>
      <xdr:row>13</xdr:row>
      <xdr:rowOff>932007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E2938-3260-4D15-83EA-E5B6E06A2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5900" y="5930900"/>
          <a:ext cx="1061561" cy="538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236220</xdr:colOff>
      <xdr:row>13</xdr:row>
      <xdr:rowOff>419100</xdr:rowOff>
    </xdr:from>
    <xdr:to>
      <xdr:col>7</xdr:col>
      <xdr:colOff>350520</xdr:colOff>
      <xdr:row>13</xdr:row>
      <xdr:rowOff>957407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D4894-2B4A-4FD0-9307-0D160819D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80" y="4686300"/>
          <a:ext cx="1379220" cy="538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243840</xdr:colOff>
      <xdr:row>13</xdr:row>
      <xdr:rowOff>441960</xdr:rowOff>
    </xdr:from>
    <xdr:to>
      <xdr:col>7</xdr:col>
      <xdr:colOff>32861</xdr:colOff>
      <xdr:row>13</xdr:row>
      <xdr:rowOff>980267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72B6E-8743-4D90-A21B-108FDE83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9680" y="4709160"/>
          <a:ext cx="802481" cy="5383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13</xdr:row>
      <xdr:rowOff>381000</xdr:rowOff>
    </xdr:from>
    <xdr:to>
      <xdr:col>7</xdr:col>
      <xdr:colOff>116681</xdr:colOff>
      <xdr:row>13</xdr:row>
      <xdr:rowOff>919307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569B3-F2FB-4DD2-86C5-85EDC088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840" y="4892040"/>
          <a:ext cx="1061561" cy="5383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365760</xdr:colOff>
      <xdr:row>13</xdr:row>
      <xdr:rowOff>358140</xdr:rowOff>
    </xdr:from>
    <xdr:to>
      <xdr:col>7</xdr:col>
      <xdr:colOff>17621</xdr:colOff>
      <xdr:row>13</xdr:row>
      <xdr:rowOff>896447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1341E-52FD-471B-B0AD-D802AC26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80" y="6301740"/>
          <a:ext cx="1061561" cy="5383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547034</xdr:colOff>
      <xdr:row>13</xdr:row>
      <xdr:rowOff>358588</xdr:rowOff>
    </xdr:from>
    <xdr:to>
      <xdr:col>7</xdr:col>
      <xdr:colOff>55837</xdr:colOff>
      <xdr:row>13</xdr:row>
      <xdr:rowOff>824749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D520BC-5A76-0EA9-58A8-32A74470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387" y="6777317"/>
          <a:ext cx="665250" cy="4661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462439</xdr:colOff>
      <xdr:row>13</xdr:row>
      <xdr:rowOff>365761</xdr:rowOff>
    </xdr:from>
    <xdr:to>
      <xdr:col>7</xdr:col>
      <xdr:colOff>236220</xdr:colOff>
      <xdr:row>13</xdr:row>
      <xdr:rowOff>904068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44C10-E557-4868-9253-1C3D1854E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9359" y="6774181"/>
          <a:ext cx="1061561" cy="5383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205740</xdr:colOff>
      <xdr:row>13</xdr:row>
      <xdr:rowOff>388620</xdr:rowOff>
    </xdr:from>
    <xdr:to>
      <xdr:col>7</xdr:col>
      <xdr:colOff>281940</xdr:colOff>
      <xdr:row>13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7B1E4-F09E-48FB-9C32-656223753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2660" y="6332220"/>
          <a:ext cx="1363980" cy="563880"/>
        </a:xfrm>
        <a:prstGeom prst="rect">
          <a:avLst/>
        </a:prstGeom>
      </xdr:spPr>
    </xdr:pic>
    <xdr:clientData/>
  </xdr:twoCellAnchor>
  <xdr:twoCellAnchor editAs="oneCell">
    <xdr:from>
      <xdr:col>10</xdr:col>
      <xdr:colOff>490330</xdr:colOff>
      <xdr:row>10</xdr:row>
      <xdr:rowOff>165874</xdr:rowOff>
    </xdr:from>
    <xdr:to>
      <xdr:col>12</xdr:col>
      <xdr:colOff>186139</xdr:colOff>
      <xdr:row>11</xdr:row>
      <xdr:rowOff>280836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242A6D9-D876-460B-B06E-ACDB4947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4850517"/>
          <a:ext cx="1074035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652780</xdr:colOff>
      <xdr:row>10</xdr:row>
      <xdr:rowOff>68580</xdr:rowOff>
    </xdr:from>
    <xdr:to>
      <xdr:col>17</xdr:col>
      <xdr:colOff>491466</xdr:colOff>
      <xdr:row>12</xdr:row>
      <xdr:rowOff>58420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390DF97-A8CB-4C9D-BC1E-9A361808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2880" y="4754880"/>
          <a:ext cx="1210286" cy="706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258747</xdr:colOff>
      <xdr:row>13</xdr:row>
      <xdr:rowOff>355489</xdr:rowOff>
    </xdr:from>
    <xdr:to>
      <xdr:col>7</xdr:col>
      <xdr:colOff>334947</xdr:colOff>
      <xdr:row>13</xdr:row>
      <xdr:rowOff>919369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BDBD0-DF2B-43FC-A1A0-7B0002A4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2956" y="6299089"/>
          <a:ext cx="1361661" cy="5638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12</xdr:row>
      <xdr:rowOff>86360</xdr:rowOff>
    </xdr:from>
    <xdr:to>
      <xdr:col>13</xdr:col>
      <xdr:colOff>537322</xdr:colOff>
      <xdr:row>12</xdr:row>
      <xdr:rowOff>459740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0E24660-AE8A-C09F-1AC5-00B1D4330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2400" y="5471160"/>
          <a:ext cx="1070722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652780</xdr:colOff>
      <xdr:row>10</xdr:row>
      <xdr:rowOff>68580</xdr:rowOff>
    </xdr:from>
    <xdr:to>
      <xdr:col>17</xdr:col>
      <xdr:colOff>491466</xdr:colOff>
      <xdr:row>12</xdr:row>
      <xdr:rowOff>58420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380C242-3956-7B42-C5EA-FF6946BD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0180" y="4742180"/>
          <a:ext cx="1210286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205740</xdr:colOff>
      <xdr:row>13</xdr:row>
      <xdr:rowOff>388620</xdr:rowOff>
    </xdr:from>
    <xdr:to>
      <xdr:col>7</xdr:col>
      <xdr:colOff>281940</xdr:colOff>
      <xdr:row>13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8B9EC-587B-45A0-975E-D12227830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2660" y="6332220"/>
          <a:ext cx="1363980" cy="5638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225648</xdr:colOff>
      <xdr:row>13</xdr:row>
      <xdr:rowOff>342900</xdr:rowOff>
    </xdr:from>
    <xdr:to>
      <xdr:col>8</xdr:col>
      <xdr:colOff>12700</xdr:colOff>
      <xdr:row>13</xdr:row>
      <xdr:rowOff>869354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0D5E4-502F-4767-AC61-EBBF58E1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948" y="6273800"/>
          <a:ext cx="1425352" cy="5264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205740</xdr:colOff>
      <xdr:row>13</xdr:row>
      <xdr:rowOff>388620</xdr:rowOff>
    </xdr:from>
    <xdr:to>
      <xdr:col>7</xdr:col>
      <xdr:colOff>281940</xdr:colOff>
      <xdr:row>13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51DAF-E576-41CA-8157-2A6028184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420" y="6332220"/>
          <a:ext cx="1104900" cy="5638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368300</xdr:rowOff>
    </xdr:from>
    <xdr:to>
      <xdr:col>7</xdr:col>
      <xdr:colOff>193261</xdr:colOff>
      <xdr:row>13</xdr:row>
      <xdr:rowOff>932180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23C7D-29A8-4437-BEAF-0D6C057F0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6040" y="5892800"/>
          <a:ext cx="1366741" cy="5638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368300</xdr:rowOff>
    </xdr:from>
    <xdr:to>
      <xdr:col>7</xdr:col>
      <xdr:colOff>193261</xdr:colOff>
      <xdr:row>13</xdr:row>
      <xdr:rowOff>932180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CEB0D-42FF-46FE-A533-F01D1BC9A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6040" y="5892800"/>
          <a:ext cx="1366741" cy="5638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368300</xdr:rowOff>
    </xdr:from>
    <xdr:to>
      <xdr:col>7</xdr:col>
      <xdr:colOff>193261</xdr:colOff>
      <xdr:row>13</xdr:row>
      <xdr:rowOff>932180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F8568-0558-4C80-A381-151ED646A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0" y="5905500"/>
          <a:ext cx="1361661" cy="563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73FB-9FBE-45D7-90A3-4394EA8989C8}">
  <dimension ref="A2:L14"/>
  <sheetViews>
    <sheetView view="pageBreakPreview" zoomScale="115" zoomScaleNormal="100" zoomScaleSheetLayoutView="115" workbookViewId="0">
      <selection activeCell="B6" sqref="B6:E6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2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2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2" ht="15.6">
      <c r="A4" s="31">
        <f ca="1">TODAY()</f>
        <v>46315</v>
      </c>
      <c r="F4" s="59" t="s">
        <v>139</v>
      </c>
    </row>
    <row r="5" spans="1:12" ht="51" customHeight="1">
      <c r="A5" s="2" t="s">
        <v>0</v>
      </c>
      <c r="B5" s="124" t="s">
        <v>44</v>
      </c>
      <c r="C5" s="125"/>
      <c r="D5" s="125"/>
      <c r="E5" s="126"/>
      <c r="F5" s="93" t="s">
        <v>1</v>
      </c>
      <c r="G5" s="94"/>
      <c r="H5" s="94"/>
      <c r="I5" s="95"/>
    </row>
    <row r="6" spans="1:12" ht="183.6" customHeight="1">
      <c r="A6" s="3" t="s">
        <v>2</v>
      </c>
      <c r="B6" s="127" t="s">
        <v>45</v>
      </c>
      <c r="C6" s="128"/>
      <c r="D6" s="128"/>
      <c r="E6" s="129"/>
      <c r="F6" s="130" t="s">
        <v>140</v>
      </c>
      <c r="G6" s="131"/>
      <c r="H6" s="131"/>
      <c r="I6" s="131"/>
      <c r="J6" s="18"/>
    </row>
    <row r="7" spans="1:12" ht="57" customHeight="1">
      <c r="A7" s="3" t="s">
        <v>3</v>
      </c>
      <c r="B7" s="132" t="s">
        <v>54</v>
      </c>
      <c r="C7" s="128"/>
      <c r="D7" s="128"/>
      <c r="E7" s="129"/>
      <c r="F7" s="4"/>
      <c r="G7" s="58">
        <v>19440000</v>
      </c>
      <c r="H7" s="102" t="s">
        <v>4</v>
      </c>
      <c r="I7" s="103"/>
      <c r="J7" s="19"/>
      <c r="K7" s="20"/>
    </row>
    <row r="8" spans="1:12" ht="20.399999999999999" customHeight="1">
      <c r="A8" s="104" t="s">
        <v>5</v>
      </c>
      <c r="B8" s="107">
        <f>D12</f>
        <v>19440000</v>
      </c>
      <c r="C8" s="108"/>
      <c r="D8" s="108"/>
      <c r="E8" s="109"/>
      <c r="F8" s="27" t="s">
        <v>6</v>
      </c>
      <c r="G8" s="24"/>
      <c r="H8" s="102"/>
      <c r="I8" s="103"/>
      <c r="J8" s="19"/>
    </row>
    <row r="9" spans="1:12" ht="20.399999999999999" customHeight="1">
      <c r="A9" s="105"/>
      <c r="B9" s="110"/>
      <c r="C9" s="111"/>
      <c r="D9" s="111"/>
      <c r="E9" s="112"/>
      <c r="F9" s="27" t="s">
        <v>7</v>
      </c>
      <c r="G9" s="24"/>
      <c r="H9" s="102"/>
      <c r="I9" s="103"/>
      <c r="J9" s="21"/>
    </row>
    <row r="10" spans="1:12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2" ht="20.399999999999999" customHeight="1">
      <c r="A11" s="106"/>
      <c r="B11" s="113"/>
      <c r="C11" s="114"/>
      <c r="D11" s="114"/>
      <c r="E11" s="115"/>
      <c r="F11" s="29"/>
      <c r="G11" s="24" t="s">
        <v>8</v>
      </c>
      <c r="H11" s="102"/>
      <c r="I11" s="103"/>
      <c r="J11" s="19"/>
    </row>
    <row r="12" spans="1:12" ht="36" customHeight="1">
      <c r="A12" s="116" t="s">
        <v>9</v>
      </c>
      <c r="B12" s="118"/>
      <c r="C12" s="10" t="s">
        <v>10</v>
      </c>
      <c r="D12" s="11">
        <f>G7</f>
        <v>19440000</v>
      </c>
      <c r="E12" s="12" t="s">
        <v>4</v>
      </c>
      <c r="F12" s="13"/>
      <c r="I12" s="23"/>
      <c r="J12" s="25"/>
    </row>
    <row r="13" spans="1:12" ht="42.75" customHeight="1">
      <c r="A13" s="117"/>
      <c r="B13" s="117"/>
      <c r="C13" s="10" t="s">
        <v>11</v>
      </c>
      <c r="D13" s="14">
        <f>+D12/26000</f>
        <v>747.69230769230774</v>
      </c>
      <c r="E13" s="12" t="s">
        <v>18</v>
      </c>
      <c r="F13" s="8"/>
      <c r="G13" s="15"/>
      <c r="H13" s="102"/>
      <c r="I13" s="103"/>
      <c r="L13"/>
    </row>
    <row r="14" spans="1:12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60</v>
      </c>
      <c r="H14" s="122"/>
      <c r="I14" s="123"/>
      <c r="K14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E378-8888-4D19-AFB8-AD52DF1D1F9D}">
  <dimension ref="A2:L14"/>
  <sheetViews>
    <sheetView zoomScaleNormal="100" workbookViewId="0">
      <selection activeCell="E1" sqref="A1:I14"/>
    </sheetView>
  </sheetViews>
  <sheetFormatPr defaultColWidth="9" defaultRowHeight="13.8"/>
  <cols>
    <col min="1" max="1" width="18" style="60" customWidth="1"/>
    <col min="2" max="2" width="8.6640625" style="60" customWidth="1"/>
    <col min="3" max="3" width="10.6640625" style="60" customWidth="1"/>
    <col min="4" max="4" width="13" style="60" customWidth="1"/>
    <col min="5" max="5" width="8.44140625" style="60" customWidth="1"/>
    <col min="6" max="6" width="17.6640625" style="60" customWidth="1"/>
    <col min="7" max="7" width="16.88671875" style="60" customWidth="1"/>
    <col min="8" max="8" width="4.6640625" style="60" customWidth="1"/>
    <col min="9" max="9" width="4.109375" style="60" customWidth="1"/>
    <col min="10" max="10" width="13.21875" style="60" customWidth="1"/>
    <col min="11" max="16384" width="9" style="60"/>
  </cols>
  <sheetData>
    <row r="2" spans="1:12" ht="18">
      <c r="A2" s="159" t="s">
        <v>16</v>
      </c>
      <c r="B2" s="160"/>
      <c r="C2" s="160"/>
      <c r="D2" s="160"/>
      <c r="E2" s="160"/>
      <c r="F2" s="160"/>
      <c r="G2" s="160"/>
      <c r="H2" s="160"/>
      <c r="I2" s="160"/>
    </row>
    <row r="3" spans="1:12" ht="17.399999999999999">
      <c r="A3" s="160" t="s">
        <v>17</v>
      </c>
      <c r="B3" s="160"/>
      <c r="C3" s="160"/>
      <c r="D3" s="160"/>
      <c r="E3" s="160"/>
      <c r="F3" s="160"/>
      <c r="G3" s="160"/>
      <c r="H3" s="160"/>
      <c r="I3" s="160"/>
    </row>
    <row r="4" spans="1:12" ht="15.6">
      <c r="A4" s="61">
        <f ca="1">TODAY()</f>
        <v>46315</v>
      </c>
      <c r="G4" s="62" t="s">
        <v>119</v>
      </c>
    </row>
    <row r="5" spans="1:12" ht="51" customHeight="1">
      <c r="A5" s="63" t="s">
        <v>105</v>
      </c>
      <c r="B5" s="161" t="s">
        <v>44</v>
      </c>
      <c r="C5" s="162"/>
      <c r="D5" s="162"/>
      <c r="E5" s="163"/>
      <c r="F5" s="164" t="s">
        <v>106</v>
      </c>
      <c r="G5" s="165"/>
      <c r="H5" s="165"/>
      <c r="I5" s="166"/>
    </row>
    <row r="6" spans="1:12" ht="183.6" customHeight="1">
      <c r="A6" s="64" t="s">
        <v>107</v>
      </c>
      <c r="B6" s="167" t="s">
        <v>45</v>
      </c>
      <c r="C6" s="145"/>
      <c r="D6" s="145"/>
      <c r="E6" s="146"/>
      <c r="F6" s="168" t="s">
        <v>118</v>
      </c>
      <c r="G6" s="169"/>
      <c r="H6" s="169"/>
      <c r="I6" s="169"/>
      <c r="J6" s="65"/>
    </row>
    <row r="7" spans="1:12" ht="57" customHeight="1">
      <c r="A7" s="64" t="s">
        <v>108</v>
      </c>
      <c r="B7" s="144" t="s">
        <v>54</v>
      </c>
      <c r="C7" s="145"/>
      <c r="D7" s="145"/>
      <c r="E7" s="146"/>
      <c r="F7" s="66"/>
      <c r="G7" s="67">
        <v>3240000</v>
      </c>
      <c r="H7" s="137" t="s">
        <v>4</v>
      </c>
      <c r="I7" s="138"/>
      <c r="J7" s="68"/>
      <c r="K7" s="69"/>
    </row>
    <row r="8" spans="1:12" ht="20.399999999999999" customHeight="1">
      <c r="A8" s="147" t="s">
        <v>109</v>
      </c>
      <c r="B8" s="150">
        <f>D12</f>
        <v>3240000</v>
      </c>
      <c r="C8" s="151"/>
      <c r="D8" s="151"/>
      <c r="E8" s="152"/>
      <c r="F8" s="70"/>
      <c r="G8" s="71"/>
      <c r="H8" s="137"/>
      <c r="I8" s="138"/>
      <c r="J8" s="68"/>
    </row>
    <row r="9" spans="1:12" ht="20.399999999999999" customHeight="1">
      <c r="A9" s="148"/>
      <c r="B9" s="153"/>
      <c r="C9" s="154"/>
      <c r="D9" s="154"/>
      <c r="E9" s="155"/>
      <c r="F9" s="70"/>
      <c r="G9" s="71"/>
      <c r="H9" s="137"/>
      <c r="I9" s="138"/>
      <c r="J9" s="72"/>
    </row>
    <row r="10" spans="1:12" ht="20.399999999999999" customHeight="1">
      <c r="A10" s="148"/>
      <c r="B10" s="153"/>
      <c r="C10" s="154"/>
      <c r="D10" s="154"/>
      <c r="E10" s="155"/>
      <c r="F10" s="73"/>
      <c r="G10" s="71"/>
      <c r="H10" s="137"/>
      <c r="I10" s="138"/>
      <c r="J10" s="74"/>
    </row>
    <row r="11" spans="1:12" ht="20.399999999999999" customHeight="1">
      <c r="A11" s="149"/>
      <c r="B11" s="156"/>
      <c r="C11" s="157"/>
      <c r="D11" s="157"/>
      <c r="E11" s="158"/>
      <c r="F11" s="75"/>
      <c r="G11" s="71" t="s">
        <v>8</v>
      </c>
      <c r="H11" s="137"/>
      <c r="I11" s="138"/>
      <c r="J11" s="68"/>
    </row>
    <row r="12" spans="1:12" ht="36" customHeight="1">
      <c r="A12" s="134" t="s">
        <v>110</v>
      </c>
      <c r="B12" s="136"/>
      <c r="C12" s="76" t="s">
        <v>111</v>
      </c>
      <c r="D12" s="77">
        <f>G7</f>
        <v>3240000</v>
      </c>
      <c r="E12" s="78" t="s">
        <v>4</v>
      </c>
      <c r="F12" s="79"/>
      <c r="I12" s="80"/>
      <c r="J12" s="81"/>
    </row>
    <row r="13" spans="1:12" ht="42.75" customHeight="1">
      <c r="A13" s="135"/>
      <c r="B13" s="135"/>
      <c r="C13" s="76" t="s">
        <v>112</v>
      </c>
      <c r="D13" s="82">
        <f>+D12/26000</f>
        <v>124.61538461538461</v>
      </c>
      <c r="E13" s="78" t="s">
        <v>18</v>
      </c>
      <c r="F13" s="83"/>
      <c r="G13" s="84"/>
      <c r="H13" s="137"/>
      <c r="I13" s="138"/>
      <c r="L13" s="85"/>
    </row>
    <row r="14" spans="1:12" ht="97.5" customHeight="1">
      <c r="A14" s="86" t="s">
        <v>113</v>
      </c>
      <c r="B14" s="139" t="s">
        <v>114</v>
      </c>
      <c r="C14" s="140"/>
      <c r="D14" s="139" t="s">
        <v>115</v>
      </c>
      <c r="E14" s="140"/>
      <c r="F14" s="87" t="s">
        <v>116</v>
      </c>
      <c r="G14" s="141" t="s">
        <v>117</v>
      </c>
      <c r="H14" s="142"/>
      <c r="I14" s="143"/>
      <c r="K14" s="85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109E-6341-4089-8B1B-FDC22552AF2C}">
  <dimension ref="A2:K14"/>
  <sheetViews>
    <sheetView view="pageBreakPreview" zoomScaleNormal="100" zoomScaleSheetLayoutView="100" workbookViewId="0">
      <selection activeCell="F4" sqref="F4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5.109375" style="1" customWidth="1"/>
    <col min="7" max="7" width="16.5546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137</v>
      </c>
    </row>
    <row r="5" spans="1:11" ht="51" customHeight="1">
      <c r="A5" s="2" t="s">
        <v>0</v>
      </c>
      <c r="B5" s="90" t="s">
        <v>68</v>
      </c>
      <c r="C5" s="91"/>
      <c r="D5" s="91"/>
      <c r="E5" s="92"/>
      <c r="F5" s="93" t="s">
        <v>1</v>
      </c>
      <c r="G5" s="94"/>
      <c r="H5" s="94"/>
      <c r="I5" s="95"/>
    </row>
    <row r="6" spans="1:11" ht="40.5" customHeight="1">
      <c r="A6" s="3" t="s">
        <v>2</v>
      </c>
      <c r="B6" s="96" t="s">
        <v>68</v>
      </c>
      <c r="C6" s="97"/>
      <c r="D6" s="97"/>
      <c r="E6" s="98"/>
      <c r="F6" s="173" t="s">
        <v>136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69</v>
      </c>
      <c r="C7" s="97"/>
      <c r="D7" s="97"/>
      <c r="E7" s="98"/>
      <c r="F7" s="4"/>
      <c r="G7" s="24">
        <v>88011344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88011344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88011344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3385.0516923076925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0" t="s">
        <v>61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4"/>
  <sheetViews>
    <sheetView view="pageBreakPreview" zoomScaleNormal="100" workbookViewId="0">
      <selection activeCell="G12" sqref="G12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5.109375" style="1" customWidth="1"/>
    <col min="7" max="7" width="16.5546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138</v>
      </c>
      <c r="G4" s="26"/>
    </row>
    <row r="5" spans="1:11" ht="51" customHeight="1">
      <c r="A5" s="2" t="s">
        <v>0</v>
      </c>
      <c r="B5" s="90" t="s">
        <v>19</v>
      </c>
      <c r="C5" s="91"/>
      <c r="D5" s="91"/>
      <c r="E5" s="92"/>
      <c r="F5" s="93" t="s">
        <v>1</v>
      </c>
      <c r="G5" s="94"/>
      <c r="H5" s="94"/>
      <c r="I5" s="95"/>
    </row>
    <row r="6" spans="1:11" ht="40.5" customHeight="1">
      <c r="A6" s="3" t="s">
        <v>2</v>
      </c>
      <c r="B6" s="96" t="s">
        <v>20</v>
      </c>
      <c r="C6" s="97"/>
      <c r="D6" s="97"/>
      <c r="E6" s="98"/>
      <c r="F6" s="173" t="s">
        <v>120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21</v>
      </c>
      <c r="C7" s="97"/>
      <c r="D7" s="97"/>
      <c r="E7" s="98"/>
      <c r="F7" s="4"/>
      <c r="G7" s="24">
        <v>16000000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16000000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16000000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615.38461538461536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71</v>
      </c>
      <c r="H14" s="122"/>
      <c r="I14" s="123"/>
    </row>
  </sheetData>
  <mergeCells count="20">
    <mergeCell ref="A8:A11"/>
    <mergeCell ref="A12:A13"/>
    <mergeCell ref="B12:B13"/>
    <mergeCell ref="B8:E11"/>
    <mergeCell ref="H11:I11"/>
    <mergeCell ref="H13:I13"/>
    <mergeCell ref="B14:C14"/>
    <mergeCell ref="D14:E14"/>
    <mergeCell ref="G14:I14"/>
    <mergeCell ref="B7:E7"/>
    <mergeCell ref="H7:I7"/>
    <mergeCell ref="H8:I8"/>
    <mergeCell ref="H9:I9"/>
    <mergeCell ref="H10:I10"/>
    <mergeCell ref="A2:I2"/>
    <mergeCell ref="A3:I3"/>
    <mergeCell ref="B5:E5"/>
    <mergeCell ref="F5:I5"/>
    <mergeCell ref="B6:E6"/>
    <mergeCell ref="F6:I6"/>
  </mergeCells>
  <phoneticPr fontId="18" type="noConversion"/>
  <pageMargins left="0.39370078740157483" right="0.39370078740157483" top="0.39370078740157483" bottom="0.23622047244094491" header="0.31496062992125984" footer="0.31496062992125984"/>
  <pageSetup paperSize="9" scale="91" orientation="portrait" horizontalDpi="1200" verticalDpi="1200" r:id="rId1"/>
  <colBreaks count="1" manualBreakCount="1">
    <brk id="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1E77-868D-47A4-85D5-C9C9A31E3466}">
  <dimension ref="A1:K14"/>
  <sheetViews>
    <sheetView view="pageBreakPreview" zoomScale="115" zoomScaleNormal="100" zoomScaleSheetLayoutView="115" workbookViewId="0">
      <selection activeCell="F8" sqref="F8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6.88671875" style="1" customWidth="1"/>
    <col min="10" max="10" width="13.21875" style="1" customWidth="1"/>
    <col min="11" max="16384" width="9" style="1"/>
  </cols>
  <sheetData>
    <row r="1" spans="1:11">
      <c r="A1" s="1" t="s">
        <v>17</v>
      </c>
    </row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142</v>
      </c>
      <c r="G4" s="26"/>
    </row>
    <row r="5" spans="1:11" ht="51" customHeight="1">
      <c r="A5" s="2" t="s">
        <v>0</v>
      </c>
      <c r="B5" s="90" t="s">
        <v>74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>
        <v>1272036868</v>
      </c>
      <c r="C6" s="97"/>
      <c r="D6" s="97"/>
      <c r="E6" s="98"/>
      <c r="F6" s="99" t="s">
        <v>141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75</v>
      </c>
      <c r="C7" s="97"/>
      <c r="D7" s="97"/>
      <c r="E7" s="98"/>
      <c r="F7" s="4"/>
      <c r="G7" s="24">
        <v>5779728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5779728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5779728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222.29723076923077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82B-C5D2-42F0-8E89-710874423341}">
  <dimension ref="A2:K14"/>
  <sheetViews>
    <sheetView view="pageBreakPreview" topLeftCell="A5" zoomScale="60" zoomScaleNormal="100" workbookViewId="0">
      <selection activeCell="M14" sqref="M14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87</v>
      </c>
    </row>
    <row r="5" spans="1:11" ht="51" customHeight="1">
      <c r="A5" s="2" t="s">
        <v>0</v>
      </c>
      <c r="B5" s="90" t="s">
        <v>42</v>
      </c>
      <c r="C5" s="91"/>
      <c r="D5" s="91"/>
      <c r="E5" s="92"/>
      <c r="F5" s="93" t="s">
        <v>1</v>
      </c>
      <c r="G5" s="94"/>
      <c r="H5" s="94"/>
      <c r="I5" s="95"/>
    </row>
    <row r="6" spans="1:11" ht="59.4" customHeight="1">
      <c r="A6" s="3" t="s">
        <v>2</v>
      </c>
      <c r="B6" s="96" t="s">
        <v>43</v>
      </c>
      <c r="C6" s="97"/>
      <c r="D6" s="97"/>
      <c r="E6" s="98"/>
      <c r="F6" s="173" t="s">
        <v>86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41</v>
      </c>
      <c r="C7" s="97"/>
      <c r="D7" s="97"/>
      <c r="E7" s="98"/>
      <c r="F7" s="4"/>
      <c r="G7" s="24">
        <v>24800000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24800000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24800000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953.84615384615381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7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586D-732B-4ED4-87BF-97E67D088BCC}">
  <dimension ref="A1:K14"/>
  <sheetViews>
    <sheetView topLeftCell="A6" zoomScaleNormal="100" workbookViewId="0">
      <selection activeCell="M14" sqref="M14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1" spans="1:11">
      <c r="A1" s="1" t="s">
        <v>17</v>
      </c>
    </row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126</v>
      </c>
    </row>
    <row r="5" spans="1:11" ht="51" customHeight="1">
      <c r="A5" s="2" t="s">
        <v>0</v>
      </c>
      <c r="B5" s="90" t="s">
        <v>78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>
        <v>203485179</v>
      </c>
      <c r="C6" s="97"/>
      <c r="D6" s="97"/>
      <c r="E6" s="98"/>
      <c r="F6" s="176" t="s">
        <v>125</v>
      </c>
      <c r="G6" s="176"/>
      <c r="H6" s="176"/>
      <c r="I6" s="176"/>
      <c r="J6" s="18"/>
    </row>
    <row r="7" spans="1:11" ht="57" customHeight="1">
      <c r="A7" s="3" t="s">
        <v>3</v>
      </c>
      <c r="B7" s="101" t="s">
        <v>96</v>
      </c>
      <c r="C7" s="97"/>
      <c r="D7" s="97"/>
      <c r="E7" s="98"/>
      <c r="F7" s="4"/>
      <c r="G7" s="24">
        <v>3564000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3564000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3564000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137.07692307692307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0" t="s">
        <v>97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7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E33B-855E-4EE7-B7E4-4847ADC80BC7}">
  <dimension ref="A2:K14"/>
  <sheetViews>
    <sheetView view="pageBreakPreview" zoomScale="60" zoomScaleNormal="100" workbookViewId="0">
      <selection activeCell="O14" sqref="O14:O15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33" t="s">
        <v>59</v>
      </c>
    </row>
    <row r="5" spans="1:11" ht="51" customHeight="1">
      <c r="A5" s="2" t="s">
        <v>0</v>
      </c>
      <c r="B5" s="90" t="s">
        <v>55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 t="s">
        <v>56</v>
      </c>
      <c r="C6" s="97"/>
      <c r="D6" s="97"/>
      <c r="E6" s="98"/>
      <c r="F6" s="99" t="s">
        <v>58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57</v>
      </c>
      <c r="C7" s="97"/>
      <c r="D7" s="97"/>
      <c r="E7" s="98"/>
      <c r="F7" s="4"/>
      <c r="G7" s="24">
        <v>52980480</v>
      </c>
      <c r="H7" s="102" t="s">
        <v>4</v>
      </c>
      <c r="I7" s="103"/>
      <c r="J7" s="19"/>
      <c r="K7" s="20"/>
    </row>
    <row r="8" spans="1:11" ht="14.4" customHeight="1">
      <c r="A8" s="104" t="s">
        <v>5</v>
      </c>
      <c r="B8" s="107">
        <f>D12</f>
        <v>52980480</v>
      </c>
      <c r="C8" s="108"/>
      <c r="D8" s="108"/>
      <c r="E8" s="109"/>
      <c r="F8" s="27"/>
      <c r="G8" s="24"/>
      <c r="H8" s="102"/>
      <c r="I8" s="103"/>
      <c r="J8" s="19"/>
    </row>
    <row r="9" spans="1:11" ht="14.4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14.4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14.4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52980480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2037.7107692307693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41CB-F860-4FFA-A26C-25C75FFD515F}">
  <dimension ref="A2:K14"/>
  <sheetViews>
    <sheetView view="pageBreakPreview" zoomScale="60" zoomScaleNormal="100" workbookViewId="0">
      <selection activeCell="G14" sqref="G14:I14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23</v>
      </c>
    </row>
    <row r="5" spans="1:11" ht="51" customHeight="1">
      <c r="A5" s="2" t="s">
        <v>0</v>
      </c>
      <c r="B5" s="90" t="s">
        <v>22</v>
      </c>
      <c r="C5" s="91"/>
      <c r="D5" s="91"/>
      <c r="E5" s="92"/>
      <c r="F5" s="93" t="s">
        <v>1</v>
      </c>
      <c r="G5" s="94"/>
      <c r="H5" s="94"/>
      <c r="I5" s="95"/>
    </row>
    <row r="6" spans="1:11" ht="59.4" customHeight="1">
      <c r="A6" s="3" t="s">
        <v>2</v>
      </c>
      <c r="B6" s="96" t="s">
        <v>24</v>
      </c>
      <c r="C6" s="97"/>
      <c r="D6" s="97"/>
      <c r="E6" s="98"/>
      <c r="F6" s="177" t="s">
        <v>26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25</v>
      </c>
      <c r="C7" s="97"/>
      <c r="D7" s="97"/>
      <c r="E7" s="98"/>
      <c r="F7" s="4"/>
      <c r="G7" s="24">
        <v>540000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540000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540000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20.76923076923077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7ADC-FA06-4ABC-A0D5-4744E6292080}">
  <dimension ref="A2:K14"/>
  <sheetViews>
    <sheetView topLeftCell="A4" zoomScale="115" zoomScaleNormal="115" workbookViewId="0">
      <selection activeCell="G9" sqref="G9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27</v>
      </c>
    </row>
    <row r="5" spans="1:11" ht="51" customHeight="1">
      <c r="A5" s="2" t="s">
        <v>0</v>
      </c>
      <c r="B5" s="90" t="s">
        <v>28</v>
      </c>
      <c r="C5" s="91"/>
      <c r="D5" s="91"/>
      <c r="E5" s="92"/>
      <c r="F5" s="93" t="s">
        <v>1</v>
      </c>
      <c r="G5" s="94"/>
      <c r="H5" s="94"/>
      <c r="I5" s="95"/>
    </row>
    <row r="6" spans="1:11" ht="59.4" customHeight="1">
      <c r="A6" s="3" t="s">
        <v>2</v>
      </c>
      <c r="B6" s="96" t="s">
        <v>29</v>
      </c>
      <c r="C6" s="97"/>
      <c r="D6" s="97"/>
      <c r="E6" s="98"/>
      <c r="F6" s="177" t="s">
        <v>30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40</v>
      </c>
      <c r="C7" s="97"/>
      <c r="D7" s="97"/>
      <c r="E7" s="98"/>
      <c r="F7" s="4"/>
      <c r="G7" s="24">
        <f>SUM(G8:G11)</f>
        <v>5125600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5125600</v>
      </c>
      <c r="C8" s="108"/>
      <c r="D8" s="108"/>
      <c r="E8" s="109"/>
      <c r="F8" s="27" t="s">
        <v>31</v>
      </c>
      <c r="G8" s="24">
        <v>1792800</v>
      </c>
      <c r="H8" s="102" t="s">
        <v>4</v>
      </c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 t="s">
        <v>32</v>
      </c>
      <c r="G9" s="24">
        <v>500000</v>
      </c>
      <c r="H9" s="102" t="s">
        <v>4</v>
      </c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 t="s">
        <v>33</v>
      </c>
      <c r="G10" s="24">
        <v>1252800</v>
      </c>
      <c r="H10" s="102" t="s">
        <v>4</v>
      </c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 t="s">
        <v>34</v>
      </c>
      <c r="G11" s="24">
        <v>1580000</v>
      </c>
      <c r="H11" s="102" t="s">
        <v>4</v>
      </c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5125600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197.13846153846154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91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77BA-EDA8-473B-BCF7-3A00F3BC1C7A}">
  <dimension ref="A2:K14"/>
  <sheetViews>
    <sheetView zoomScaleNormal="100" workbookViewId="0">
      <selection activeCell="K6" sqref="K6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73</v>
      </c>
    </row>
    <row r="5" spans="1:11" ht="51" customHeight="1">
      <c r="A5" s="2" t="s">
        <v>0</v>
      </c>
      <c r="B5" s="90" t="s">
        <v>131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 t="s">
        <v>132</v>
      </c>
      <c r="C6" s="97"/>
      <c r="D6" s="97"/>
      <c r="E6" s="98"/>
      <c r="F6" s="99" t="s">
        <v>72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133</v>
      </c>
      <c r="C7" s="97"/>
      <c r="D7" s="97"/>
      <c r="E7" s="98"/>
      <c r="F7" s="4"/>
      <c r="G7" s="24">
        <v>32508000</v>
      </c>
      <c r="H7" s="102" t="s">
        <v>4</v>
      </c>
      <c r="I7" s="103"/>
      <c r="J7" s="19"/>
      <c r="K7" s="20"/>
    </row>
    <row r="8" spans="1:11" ht="14.4" customHeight="1">
      <c r="A8" s="104" t="s">
        <v>5</v>
      </c>
      <c r="B8" s="107">
        <f>D12</f>
        <v>32508000</v>
      </c>
      <c r="C8" s="108"/>
      <c r="D8" s="108"/>
      <c r="E8" s="109"/>
      <c r="F8" s="27"/>
      <c r="G8" s="24"/>
      <c r="H8" s="102"/>
      <c r="I8" s="103"/>
      <c r="J8" s="19"/>
    </row>
    <row r="9" spans="1:11" ht="14.4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14.4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14.4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32508000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1250.3076923076924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91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7BC5-FFE3-4D4F-98F9-8E1EEBF2EEED}">
  <dimension ref="A2:K14"/>
  <sheetViews>
    <sheetView topLeftCell="A6" zoomScaleNormal="100" workbookViewId="0">
      <selection activeCell="L7" sqref="L7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30" t="s">
        <v>38</v>
      </c>
    </row>
    <row r="5" spans="1:11" ht="51" customHeight="1">
      <c r="A5" s="2" t="s">
        <v>0</v>
      </c>
      <c r="B5" s="90" t="s">
        <v>39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 t="s">
        <v>35</v>
      </c>
      <c r="C6" s="97"/>
      <c r="D6" s="97"/>
      <c r="E6" s="98"/>
      <c r="F6" s="99" t="s">
        <v>37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36</v>
      </c>
      <c r="C7" s="97"/>
      <c r="D7" s="97"/>
      <c r="E7" s="98"/>
      <c r="F7" s="4"/>
      <c r="G7" s="24">
        <v>1223100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1223100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1223100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47.042307692307695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91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46C0-4E65-4989-B8C1-C33D951C9E73}">
  <dimension ref="A2:K14"/>
  <sheetViews>
    <sheetView view="pageBreakPreview" zoomScale="85" zoomScaleNormal="100" zoomScaleSheetLayoutView="85" workbookViewId="0">
      <selection activeCell="F6" sqref="F6:I6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148</v>
      </c>
    </row>
    <row r="5" spans="1:11" ht="51" customHeight="1">
      <c r="A5" s="2" t="s">
        <v>0</v>
      </c>
      <c r="B5" s="90" t="s">
        <v>46</v>
      </c>
      <c r="C5" s="91"/>
      <c r="D5" s="91"/>
      <c r="E5" s="92"/>
      <c r="F5" s="93" t="s">
        <v>1</v>
      </c>
      <c r="G5" s="94"/>
      <c r="H5" s="94"/>
      <c r="I5" s="95"/>
    </row>
    <row r="6" spans="1:11" ht="171.6" customHeight="1">
      <c r="A6" s="3" t="s">
        <v>2</v>
      </c>
      <c r="B6" s="96" t="s">
        <v>52</v>
      </c>
      <c r="C6" s="97"/>
      <c r="D6" s="97"/>
      <c r="E6" s="98"/>
      <c r="F6" s="99" t="s">
        <v>149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53</v>
      </c>
      <c r="C7" s="97"/>
      <c r="D7" s="97"/>
      <c r="E7" s="98"/>
      <c r="F7" s="4"/>
      <c r="G7" s="24">
        <f>2*1296000</f>
        <v>2592000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2592000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2592000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99.692307692307693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21" t="s">
        <v>150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8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88EF-94E8-415A-BD84-D5BFC7CB071A}">
  <dimension ref="A2:K14"/>
  <sheetViews>
    <sheetView view="pageBreakPreview" zoomScaleNormal="100" zoomScaleSheetLayoutView="100" workbookViewId="0">
      <selection activeCell="J18" sqref="J18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99</v>
      </c>
    </row>
    <row r="5" spans="1:11" ht="51" customHeight="1">
      <c r="A5" s="2" t="s">
        <v>0</v>
      </c>
      <c r="B5" s="90" t="s">
        <v>46</v>
      </c>
      <c r="C5" s="91"/>
      <c r="D5" s="91"/>
      <c r="E5" s="92"/>
      <c r="F5" s="93" t="s">
        <v>1</v>
      </c>
      <c r="G5" s="94"/>
      <c r="H5" s="94"/>
      <c r="I5" s="95"/>
    </row>
    <row r="6" spans="1:11" ht="171.6" customHeight="1">
      <c r="A6" s="3" t="s">
        <v>2</v>
      </c>
      <c r="B6" s="96" t="s">
        <v>52</v>
      </c>
      <c r="C6" s="97"/>
      <c r="D6" s="97"/>
      <c r="E6" s="98"/>
      <c r="F6" s="99" t="s">
        <v>98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53</v>
      </c>
      <c r="C7" s="97"/>
      <c r="D7" s="97"/>
      <c r="E7" s="98"/>
      <c r="F7" s="4"/>
      <c r="G7" s="24">
        <v>1080000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1080000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1080000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41.53846153846154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8" t="s">
        <v>61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8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7CF3-A76F-4928-8629-273D176FB660}">
  <dimension ref="A2:L14"/>
  <sheetViews>
    <sheetView view="pageBreakPreview" topLeftCell="A7" zoomScaleNormal="100" zoomScaleSheetLayoutView="100" workbookViewId="0">
      <selection activeCell="L6" sqref="L6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2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2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2" ht="15.6">
      <c r="A4" s="31">
        <f ca="1">TODAY()</f>
        <v>46315</v>
      </c>
      <c r="F4" s="26" t="s">
        <v>147</v>
      </c>
    </row>
    <row r="5" spans="1:12" ht="51" customHeight="1">
      <c r="A5" s="2" t="s">
        <v>0</v>
      </c>
      <c r="B5" s="90" t="s">
        <v>143</v>
      </c>
      <c r="C5" s="91"/>
      <c r="D5" s="91"/>
      <c r="E5" s="92"/>
      <c r="F5" s="93" t="s">
        <v>1</v>
      </c>
      <c r="G5" s="94"/>
      <c r="H5" s="94"/>
      <c r="I5" s="95"/>
    </row>
    <row r="6" spans="1:12" ht="135" customHeight="1">
      <c r="A6" s="3" t="s">
        <v>2</v>
      </c>
      <c r="B6" s="96" t="s">
        <v>144</v>
      </c>
      <c r="C6" s="97"/>
      <c r="D6" s="97"/>
      <c r="E6" s="98"/>
      <c r="F6" s="99" t="s">
        <v>146</v>
      </c>
      <c r="G6" s="100"/>
      <c r="H6" s="100"/>
      <c r="I6" s="100"/>
      <c r="J6" s="18"/>
    </row>
    <row r="7" spans="1:12" ht="57" customHeight="1">
      <c r="A7" s="3" t="s">
        <v>3</v>
      </c>
      <c r="B7" s="101" t="s">
        <v>145</v>
      </c>
      <c r="C7" s="97"/>
      <c r="D7" s="97"/>
      <c r="E7" s="98"/>
      <c r="F7" s="4"/>
      <c r="G7" s="24">
        <f>290000+580000</f>
        <v>870000</v>
      </c>
      <c r="H7" s="102" t="s">
        <v>4</v>
      </c>
      <c r="I7" s="103"/>
      <c r="J7" s="19"/>
      <c r="K7" s="20"/>
    </row>
    <row r="8" spans="1:12" ht="20.399999999999999" customHeight="1">
      <c r="A8" s="104" t="s">
        <v>5</v>
      </c>
      <c r="B8" s="107">
        <f>D12</f>
        <v>870000</v>
      </c>
      <c r="C8" s="108"/>
      <c r="D8" s="108"/>
      <c r="E8" s="109"/>
      <c r="F8" s="27"/>
      <c r="G8" s="24"/>
      <c r="H8" s="102"/>
      <c r="I8" s="103"/>
      <c r="J8" s="19"/>
    </row>
    <row r="9" spans="1:12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2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2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2" ht="36" customHeight="1">
      <c r="A12" s="116" t="s">
        <v>9</v>
      </c>
      <c r="B12" s="118"/>
      <c r="C12" s="10" t="s">
        <v>10</v>
      </c>
      <c r="D12" s="11">
        <f>G7</f>
        <v>870000</v>
      </c>
      <c r="E12" s="12" t="s">
        <v>4</v>
      </c>
      <c r="F12" s="13"/>
      <c r="I12" s="23"/>
      <c r="J12" s="25"/>
    </row>
    <row r="13" spans="1:12" ht="42.75" customHeight="1">
      <c r="A13" s="117"/>
      <c r="B13" s="117"/>
      <c r="C13" s="10" t="s">
        <v>11</v>
      </c>
      <c r="D13" s="14">
        <f>+D12/26000</f>
        <v>33.46153846153846</v>
      </c>
      <c r="E13" s="12" t="s">
        <v>18</v>
      </c>
      <c r="F13" s="8"/>
      <c r="G13" s="15"/>
      <c r="H13" s="102"/>
      <c r="I13" s="103"/>
      <c r="L13"/>
    </row>
    <row r="14" spans="1:12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  <c r="K14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ageMargins left="0.7" right="0.7" top="0.75" bottom="0.75" header="0.3" footer="0.3"/>
  <pageSetup paperSize="9" scale="7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4BA1-4E5A-4C38-878F-0FE39718A5FB}">
  <dimension ref="A2:L14"/>
  <sheetViews>
    <sheetView view="pageBreakPreview" topLeftCell="A6" zoomScale="115" zoomScaleNormal="100" zoomScaleSheetLayoutView="115" workbookViewId="0">
      <selection activeCell="N8" sqref="N8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2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2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2" ht="15.6">
      <c r="A4" s="31">
        <f ca="1">TODAY()</f>
        <v>46315</v>
      </c>
      <c r="F4" s="26" t="s">
        <v>128</v>
      </c>
      <c r="G4" s="26"/>
    </row>
    <row r="5" spans="1:12" ht="51" customHeight="1">
      <c r="A5" s="2" t="s">
        <v>0</v>
      </c>
      <c r="B5" s="90" t="s">
        <v>88</v>
      </c>
      <c r="C5" s="91"/>
      <c r="D5" s="91"/>
      <c r="E5" s="92"/>
      <c r="F5" s="93" t="s">
        <v>1</v>
      </c>
      <c r="G5" s="94"/>
      <c r="H5" s="94"/>
      <c r="I5" s="95"/>
    </row>
    <row r="6" spans="1:12" ht="135" customHeight="1">
      <c r="A6" s="3" t="s">
        <v>2</v>
      </c>
      <c r="B6" s="96">
        <v>1361168168</v>
      </c>
      <c r="C6" s="97"/>
      <c r="D6" s="97"/>
      <c r="E6" s="98"/>
      <c r="F6" s="99" t="s">
        <v>127</v>
      </c>
      <c r="G6" s="100"/>
      <c r="H6" s="100"/>
      <c r="I6" s="100"/>
      <c r="J6" s="18"/>
    </row>
    <row r="7" spans="1:12" ht="57" customHeight="1">
      <c r="A7" s="3" t="s">
        <v>3</v>
      </c>
      <c r="B7" s="101" t="s">
        <v>89</v>
      </c>
      <c r="C7" s="97"/>
      <c r="D7" s="97"/>
      <c r="E7" s="98"/>
      <c r="F7" s="4"/>
      <c r="G7" s="24">
        <v>850000</v>
      </c>
      <c r="H7" s="102" t="s">
        <v>4</v>
      </c>
      <c r="I7" s="103"/>
      <c r="J7" s="19"/>
      <c r="K7" s="20"/>
    </row>
    <row r="8" spans="1:12" ht="20.399999999999999" customHeight="1">
      <c r="A8" s="104" t="s">
        <v>5</v>
      </c>
      <c r="B8" s="107">
        <f>D12</f>
        <v>850000</v>
      </c>
      <c r="C8" s="108"/>
      <c r="D8" s="108"/>
      <c r="E8" s="109"/>
      <c r="F8" s="27"/>
      <c r="G8" s="24"/>
      <c r="H8" s="102"/>
      <c r="I8" s="103"/>
      <c r="J8" s="19"/>
    </row>
    <row r="9" spans="1:12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2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2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2" ht="36" customHeight="1">
      <c r="A12" s="116" t="s">
        <v>9</v>
      </c>
      <c r="B12" s="118"/>
      <c r="C12" s="10" t="s">
        <v>10</v>
      </c>
      <c r="D12" s="11">
        <f>G7</f>
        <v>850000</v>
      </c>
      <c r="E12" s="12" t="s">
        <v>4</v>
      </c>
      <c r="F12" s="13"/>
      <c r="I12" s="23"/>
      <c r="J12" s="25"/>
    </row>
    <row r="13" spans="1:12" ht="42.75" customHeight="1">
      <c r="A13" s="117"/>
      <c r="B13" s="117"/>
      <c r="C13" s="10" t="s">
        <v>11</v>
      </c>
      <c r="D13" s="14">
        <f>+D12/26000</f>
        <v>32.692307692307693</v>
      </c>
      <c r="E13" s="12" t="s">
        <v>18</v>
      </c>
      <c r="F13" s="8"/>
      <c r="G13" s="15"/>
      <c r="H13" s="102"/>
      <c r="I13" s="103"/>
      <c r="L13"/>
    </row>
    <row r="14" spans="1:12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  <c r="K14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7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6490-8F12-4B04-8FBB-BF2D308A881C}">
  <dimension ref="A2:L14"/>
  <sheetViews>
    <sheetView view="pageBreakPreview" topLeftCell="A5" zoomScale="70" zoomScaleNormal="100" zoomScaleSheetLayoutView="70" workbookViewId="0">
      <selection activeCell="Q6" sqref="Q6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2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2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2" ht="15.6">
      <c r="A4" s="31">
        <f ca="1">TODAY()</f>
        <v>46315</v>
      </c>
      <c r="G4" s="59" t="s">
        <v>100</v>
      </c>
    </row>
    <row r="5" spans="1:12" ht="51" customHeight="1">
      <c r="A5" s="2" t="s">
        <v>0</v>
      </c>
      <c r="B5" s="124" t="s">
        <v>101</v>
      </c>
      <c r="C5" s="125"/>
      <c r="D5" s="125"/>
      <c r="E5" s="126"/>
      <c r="F5" s="93" t="s">
        <v>1</v>
      </c>
      <c r="G5" s="94"/>
      <c r="H5" s="94"/>
      <c r="I5" s="95"/>
    </row>
    <row r="6" spans="1:12" ht="183.6" customHeight="1">
      <c r="A6" s="3" t="s">
        <v>2</v>
      </c>
      <c r="B6" s="127">
        <v>53597968</v>
      </c>
      <c r="C6" s="128"/>
      <c r="D6" s="128"/>
      <c r="E6" s="129"/>
      <c r="F6" s="130" t="s">
        <v>103</v>
      </c>
      <c r="G6" s="131"/>
      <c r="H6" s="131"/>
      <c r="I6" s="131"/>
      <c r="J6" s="18"/>
    </row>
    <row r="7" spans="1:12" ht="57" customHeight="1">
      <c r="A7" s="3" t="s">
        <v>3</v>
      </c>
      <c r="B7" s="132" t="s">
        <v>102</v>
      </c>
      <c r="C7" s="128"/>
      <c r="D7" s="128"/>
      <c r="E7" s="129"/>
      <c r="F7" s="4"/>
      <c r="G7" s="58">
        <v>7061240</v>
      </c>
      <c r="H7" s="102" t="s">
        <v>4</v>
      </c>
      <c r="I7" s="103"/>
      <c r="J7" s="19"/>
      <c r="K7" s="20"/>
    </row>
    <row r="8" spans="1:12" ht="20.399999999999999" customHeight="1">
      <c r="A8" s="104" t="s">
        <v>5</v>
      </c>
      <c r="B8" s="107">
        <f>D12</f>
        <v>7061240</v>
      </c>
      <c r="C8" s="108"/>
      <c r="D8" s="108"/>
      <c r="E8" s="109"/>
      <c r="F8" s="27"/>
      <c r="G8" s="24"/>
      <c r="H8" s="102"/>
      <c r="I8" s="103"/>
      <c r="J8" s="19"/>
    </row>
    <row r="9" spans="1:12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2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2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2" ht="36" customHeight="1">
      <c r="A12" s="116" t="s">
        <v>9</v>
      </c>
      <c r="B12" s="118"/>
      <c r="C12" s="10" t="s">
        <v>10</v>
      </c>
      <c r="D12" s="11">
        <f>G7</f>
        <v>7061240</v>
      </c>
      <c r="E12" s="12" t="s">
        <v>4</v>
      </c>
      <c r="F12" s="13"/>
      <c r="I12" s="23"/>
      <c r="J12" s="25"/>
    </row>
    <row r="13" spans="1:12" ht="42.75" customHeight="1">
      <c r="A13" s="117"/>
      <c r="B13" s="117"/>
      <c r="C13" s="10" t="s">
        <v>11</v>
      </c>
      <c r="D13" s="14">
        <f>+D12/26000</f>
        <v>271.58615384615382</v>
      </c>
      <c r="E13" s="12" t="s">
        <v>18</v>
      </c>
      <c r="F13" s="8"/>
      <c r="G13" s="15"/>
      <c r="H13" s="102"/>
      <c r="I13" s="103"/>
      <c r="L13"/>
    </row>
    <row r="14" spans="1:12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  <c r="K14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ageMargins left="0.7" right="0.7" top="0.75" bottom="0.75" header="0.3" footer="0.3"/>
  <pageSetup paperSize="9" scale="7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4EC6-9B5C-4B59-9702-D536437384DA}">
  <dimension ref="A2:K14"/>
  <sheetViews>
    <sheetView view="pageBreakPreview" zoomScale="60" zoomScaleNormal="100" workbookViewId="0">
      <selection activeCell="M6" sqref="M6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135</v>
      </c>
      <c r="G4" s="26"/>
    </row>
    <row r="5" spans="1:11" ht="51" customHeight="1">
      <c r="A5" s="2" t="s">
        <v>0</v>
      </c>
      <c r="B5" s="90" t="s">
        <v>85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>
        <v>77774466</v>
      </c>
      <c r="C6" s="97"/>
      <c r="D6" s="97"/>
      <c r="E6" s="98"/>
      <c r="F6" s="99" t="s">
        <v>134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104</v>
      </c>
      <c r="C7" s="97"/>
      <c r="D7" s="97"/>
      <c r="E7" s="98"/>
      <c r="F7" s="4"/>
      <c r="G7" s="24">
        <v>3961000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3961000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3961000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152.34615384615384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ageMargins left="0.7" right="0.7" top="0.75" bottom="0.75" header="0.3" footer="0.3"/>
  <pageSetup paperSize="9" scale="7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7D5E-380C-4E09-AA75-362E280DFDDE}">
  <dimension ref="A2:K14"/>
  <sheetViews>
    <sheetView tabSelected="1" zoomScaleNormal="100" workbookViewId="0">
      <selection activeCell="H12" sqref="H12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F4" s="26" t="s">
        <v>124</v>
      </c>
    </row>
    <row r="5" spans="1:11" ht="51" customHeight="1">
      <c r="A5" s="2" t="s">
        <v>0</v>
      </c>
      <c r="B5" s="90" t="s">
        <v>83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>
        <v>700020535654</v>
      </c>
      <c r="C6" s="97"/>
      <c r="D6" s="97"/>
      <c r="E6" s="98"/>
      <c r="F6" s="99" t="s">
        <v>123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84</v>
      </c>
      <c r="C7" s="97"/>
      <c r="D7" s="97"/>
      <c r="E7" s="98"/>
      <c r="F7" s="4"/>
      <c r="G7" s="24">
        <v>10800000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10800000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10800000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415.38461538461536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ageMargins left="0.7" right="0.7" top="0.75" bottom="0.75" header="0.3" footer="0.3"/>
  <pageSetup paperSize="9" scale="78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51D8-344D-48AC-82DC-2706FAE71F72}">
  <dimension ref="A2:K14"/>
  <sheetViews>
    <sheetView topLeftCell="A7" zoomScaleNormal="100" workbookViewId="0">
      <selection activeCell="M13" sqref="M13"/>
    </sheetView>
  </sheetViews>
  <sheetFormatPr defaultColWidth="9" defaultRowHeight="13.8"/>
  <cols>
    <col min="1" max="1" width="18" style="1" customWidth="1"/>
    <col min="2" max="2" width="8.6640625" style="1" customWidth="1"/>
    <col min="3" max="3" width="10.6640625" style="1" customWidth="1"/>
    <col min="4" max="4" width="13" style="1" customWidth="1"/>
    <col min="5" max="5" width="8.44140625" style="1" customWidth="1"/>
    <col min="6" max="6" width="17.6640625" style="1" customWidth="1"/>
    <col min="7" max="7" width="16.8867187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57" t="s">
        <v>81</v>
      </c>
    </row>
    <row r="5" spans="1:11" ht="51" customHeight="1">
      <c r="A5" s="2" t="s">
        <v>0</v>
      </c>
      <c r="B5" s="90" t="s">
        <v>80</v>
      </c>
      <c r="C5" s="91"/>
      <c r="D5" s="91"/>
      <c r="E5" s="92"/>
      <c r="F5" s="93" t="s">
        <v>1</v>
      </c>
      <c r="G5" s="94"/>
      <c r="H5" s="94"/>
      <c r="I5" s="95"/>
    </row>
    <row r="6" spans="1:11" ht="178.8" customHeight="1">
      <c r="A6" s="3" t="s">
        <v>2</v>
      </c>
      <c r="B6" s="96">
        <v>687979887979</v>
      </c>
      <c r="C6" s="97"/>
      <c r="D6" s="97"/>
      <c r="E6" s="98"/>
      <c r="F6" s="99" t="s">
        <v>82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79</v>
      </c>
      <c r="C7" s="97"/>
      <c r="D7" s="97"/>
      <c r="E7" s="98"/>
      <c r="F7" s="4"/>
      <c r="G7" s="24">
        <v>16800000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16800000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16800000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646.15384615384619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61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93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E6EA-EBCB-4078-8520-C82CA223A46A}">
  <dimension ref="A2:K14"/>
  <sheetViews>
    <sheetView zoomScaleNormal="100" workbookViewId="0">
      <selection activeCell="K6" sqref="K6"/>
    </sheetView>
  </sheetViews>
  <sheetFormatPr defaultColWidth="9" defaultRowHeight="13.8"/>
  <cols>
    <col min="1" max="1" width="18.88671875" style="46" customWidth="1"/>
    <col min="2" max="2" width="8.6640625" style="46" customWidth="1"/>
    <col min="3" max="3" width="10.6640625" style="46" customWidth="1"/>
    <col min="4" max="4" width="15.6640625" style="46" customWidth="1"/>
    <col min="5" max="5" width="9.6640625" style="46" customWidth="1"/>
    <col min="6" max="6" width="13.44140625" style="46" customWidth="1"/>
    <col min="7" max="7" width="18.44140625" style="46" customWidth="1"/>
    <col min="8" max="8" width="4.6640625" style="46" customWidth="1"/>
    <col min="9" max="9" width="4.109375" style="46" customWidth="1"/>
    <col min="10" max="10" width="13.21875" style="46" customWidth="1"/>
    <col min="11" max="16384" width="9" style="46"/>
  </cols>
  <sheetData>
    <row r="2" spans="1:11" ht="17.399999999999999">
      <c r="A2" s="179" t="s">
        <v>16</v>
      </c>
      <c r="B2" s="180"/>
      <c r="C2" s="180"/>
      <c r="D2" s="180"/>
      <c r="E2" s="180"/>
      <c r="F2" s="180"/>
      <c r="G2" s="180"/>
      <c r="H2" s="180"/>
      <c r="I2" s="180"/>
    </row>
    <row r="3" spans="1:11" ht="17.399999999999999">
      <c r="A3" s="180" t="s">
        <v>17</v>
      </c>
      <c r="B3" s="180"/>
      <c r="C3" s="180"/>
      <c r="D3" s="180"/>
      <c r="E3" s="180"/>
      <c r="F3" s="180"/>
      <c r="G3" s="180"/>
      <c r="H3" s="180"/>
      <c r="I3" s="180"/>
    </row>
    <row r="4" spans="1:11" ht="15.6">
      <c r="A4" s="39">
        <f ca="1">TODAY()</f>
        <v>46315</v>
      </c>
      <c r="G4" s="56" t="s">
        <v>76</v>
      </c>
    </row>
    <row r="5" spans="1:11" ht="51" customHeight="1">
      <c r="A5" s="40" t="s">
        <v>0</v>
      </c>
      <c r="B5" s="90" t="s">
        <v>65</v>
      </c>
      <c r="C5" s="91"/>
      <c r="D5" s="91"/>
      <c r="E5" s="92"/>
      <c r="F5" s="93" t="s">
        <v>1</v>
      </c>
      <c r="G5" s="94"/>
      <c r="H5" s="94"/>
      <c r="I5" s="95"/>
    </row>
    <row r="6" spans="1:11" ht="180.6" customHeight="1">
      <c r="A6" s="40" t="s">
        <v>2</v>
      </c>
      <c r="B6" s="96" t="s">
        <v>66</v>
      </c>
      <c r="C6" s="97"/>
      <c r="D6" s="97"/>
      <c r="E6" s="98"/>
      <c r="F6" s="181" t="s">
        <v>77</v>
      </c>
      <c r="G6" s="174"/>
      <c r="H6" s="174"/>
      <c r="I6" s="175"/>
      <c r="J6" s="41"/>
    </row>
    <row r="7" spans="1:11" ht="57" customHeight="1">
      <c r="A7" s="40" t="s">
        <v>3</v>
      </c>
      <c r="B7" s="101" t="s">
        <v>67</v>
      </c>
      <c r="C7" s="97"/>
      <c r="D7" s="97"/>
      <c r="E7" s="98"/>
      <c r="F7" s="42"/>
      <c r="G7" s="43">
        <v>42346800</v>
      </c>
      <c r="H7" s="102" t="s">
        <v>4</v>
      </c>
      <c r="I7" s="103"/>
      <c r="J7" s="36"/>
      <c r="K7" s="51"/>
    </row>
    <row r="8" spans="1:11" ht="9.75" customHeight="1">
      <c r="A8" s="182" t="s">
        <v>5</v>
      </c>
      <c r="B8" s="107">
        <f>D12</f>
        <v>42346800</v>
      </c>
      <c r="C8" s="108"/>
      <c r="D8" s="108"/>
      <c r="E8" s="109"/>
      <c r="F8" s="44" t="s">
        <v>6</v>
      </c>
      <c r="G8" s="45" t="e">
        <f>+#REF!</f>
        <v>#REF!</v>
      </c>
      <c r="H8" s="102"/>
      <c r="I8" s="103"/>
      <c r="J8" s="36"/>
    </row>
    <row r="9" spans="1:11" ht="12.75" customHeight="1">
      <c r="A9" s="183"/>
      <c r="B9" s="110"/>
      <c r="C9" s="111"/>
      <c r="D9" s="111"/>
      <c r="E9" s="112"/>
      <c r="F9" s="44" t="s">
        <v>7</v>
      </c>
      <c r="G9" s="45" t="e">
        <f>+#REF!</f>
        <v>#REF!</v>
      </c>
      <c r="H9" s="102"/>
      <c r="I9" s="103"/>
    </row>
    <row r="10" spans="1:11" ht="16.5" customHeight="1">
      <c r="A10" s="183"/>
      <c r="B10" s="110"/>
      <c r="C10" s="111"/>
      <c r="D10" s="111"/>
      <c r="E10" s="112"/>
      <c r="F10" s="42"/>
      <c r="G10" s="47"/>
      <c r="H10" s="102"/>
      <c r="I10" s="103"/>
      <c r="J10" s="52"/>
    </row>
    <row r="11" spans="1:11" ht="6" customHeight="1">
      <c r="A11" s="184"/>
      <c r="B11" s="113"/>
      <c r="C11" s="114"/>
      <c r="D11" s="114"/>
      <c r="E11" s="115"/>
      <c r="F11" s="35"/>
      <c r="G11" s="48" t="s">
        <v>8</v>
      </c>
      <c r="H11" s="171"/>
      <c r="I11" s="172"/>
      <c r="J11" s="36"/>
    </row>
    <row r="12" spans="1:11" ht="36" customHeight="1">
      <c r="A12" s="116" t="s">
        <v>9</v>
      </c>
      <c r="B12" s="118"/>
      <c r="C12" s="10" t="s">
        <v>10</v>
      </c>
      <c r="D12" s="14">
        <f>G7</f>
        <v>42346800</v>
      </c>
      <c r="E12" s="37" t="s">
        <v>4</v>
      </c>
      <c r="F12" s="49"/>
      <c r="I12" s="53"/>
      <c r="J12" s="54"/>
    </row>
    <row r="13" spans="1:11" ht="42.75" customHeight="1">
      <c r="A13" s="117"/>
      <c r="B13" s="117"/>
      <c r="C13" s="10" t="s">
        <v>11</v>
      </c>
      <c r="D13" s="14">
        <f>+D12/26000</f>
        <v>1628.7230769230769</v>
      </c>
      <c r="E13" s="37" t="s">
        <v>18</v>
      </c>
      <c r="F13" s="35"/>
      <c r="G13" s="50"/>
      <c r="H13" s="102"/>
      <c r="I13" s="103"/>
    </row>
    <row r="14" spans="1:11" ht="97.5" customHeight="1">
      <c r="A14" s="38" t="s">
        <v>12</v>
      </c>
      <c r="B14" s="185" t="s">
        <v>13</v>
      </c>
      <c r="C14" s="186"/>
      <c r="D14" s="185" t="s">
        <v>14</v>
      </c>
      <c r="E14" s="186"/>
      <c r="F14" s="55" t="s">
        <v>15</v>
      </c>
      <c r="G14" s="178" t="s">
        <v>61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" right="0.7" top="0.75" bottom="0.75" header="0.3" footer="0.3"/>
  <pageSetup paperSize="9" scale="91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729D-1A3F-4DC8-A610-6B5FF38DF3F4}">
  <dimension ref="A2:K14"/>
  <sheetViews>
    <sheetView topLeftCell="A6" zoomScaleNormal="100" workbookViewId="0">
      <selection activeCell="D14" sqref="D14:E14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12.109375" style="1" customWidth="1"/>
    <col min="6" max="6" width="15.10937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121</v>
      </c>
    </row>
    <row r="5" spans="1:11" ht="51" customHeight="1">
      <c r="A5" s="2" t="s">
        <v>0</v>
      </c>
      <c r="B5" s="90" t="s">
        <v>93</v>
      </c>
      <c r="C5" s="91"/>
      <c r="D5" s="91"/>
      <c r="E5" s="92"/>
      <c r="F5" s="93" t="s">
        <v>1</v>
      </c>
      <c r="G5" s="94"/>
      <c r="H5" s="94"/>
      <c r="I5" s="95"/>
    </row>
    <row r="6" spans="1:11" ht="139.19999999999999" customHeight="1">
      <c r="A6" s="3" t="s">
        <v>2</v>
      </c>
      <c r="B6" s="96" t="s">
        <v>94</v>
      </c>
      <c r="C6" s="97"/>
      <c r="D6" s="97"/>
      <c r="E6" s="98"/>
      <c r="F6" s="173" t="s">
        <v>122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95</v>
      </c>
      <c r="C7" s="97"/>
      <c r="D7" s="97"/>
      <c r="E7" s="98"/>
      <c r="F7" s="34"/>
      <c r="G7" s="24">
        <v>86915640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86915640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86915640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3342.9092307692308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0" t="s">
        <v>92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ageMargins left="0.70866141732283472" right="0.70866141732283472" top="0.74803149606299213" bottom="0.74803149606299213" header="0.31496062992125984" footer="0.31496062992125984"/>
  <pageSetup paperSize="9" scale="74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180B-3486-435C-8F0C-DBD74D9FE176}">
  <dimension ref="A2:K14"/>
  <sheetViews>
    <sheetView zoomScale="70" zoomScaleNormal="70" workbookViewId="0">
      <selection activeCell="M13" sqref="M13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12.109375" style="1" customWidth="1"/>
    <col min="6" max="6" width="15.10937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129</v>
      </c>
    </row>
    <row r="5" spans="1:11" ht="51" customHeight="1">
      <c r="A5" s="2" t="s">
        <v>0</v>
      </c>
      <c r="B5" s="90" t="s">
        <v>93</v>
      </c>
      <c r="C5" s="91"/>
      <c r="D5" s="91"/>
      <c r="E5" s="92"/>
      <c r="F5" s="93" t="s">
        <v>1</v>
      </c>
      <c r="G5" s="94"/>
      <c r="H5" s="94"/>
      <c r="I5" s="95"/>
    </row>
    <row r="6" spans="1:11" ht="139.19999999999999" customHeight="1">
      <c r="A6" s="3" t="s">
        <v>2</v>
      </c>
      <c r="B6" s="96" t="s">
        <v>94</v>
      </c>
      <c r="C6" s="97"/>
      <c r="D6" s="97"/>
      <c r="E6" s="98"/>
      <c r="F6" s="173" t="s">
        <v>130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95</v>
      </c>
      <c r="C7" s="97"/>
      <c r="D7" s="97"/>
      <c r="E7" s="98"/>
      <c r="F7" s="34"/>
      <c r="G7" s="24">
        <v>240834092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240834092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240834092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9262.8496923076927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0" t="s">
        <v>92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ageMargins left="0.70866141732283472" right="0.70866141732283472" top="0.74803149606299213" bottom="0.74803149606299213" header="0.31496062992125984" footer="0.31496062992125984"/>
  <pageSetup paperSize="9" scale="74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0CE7-F281-4F9B-8370-DF84C27592BF}">
  <dimension ref="A2:K14"/>
  <sheetViews>
    <sheetView view="pageBreakPreview" zoomScale="60" zoomScaleNormal="100" workbookViewId="0">
      <selection activeCell="P13" sqref="P13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12.109375" style="1" customWidth="1"/>
    <col min="6" max="6" width="15.10937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26" t="s">
        <v>90</v>
      </c>
    </row>
    <row r="5" spans="1:11" ht="51" customHeight="1">
      <c r="A5" s="2" t="s">
        <v>0</v>
      </c>
      <c r="B5" s="90" t="s">
        <v>62</v>
      </c>
      <c r="C5" s="91"/>
      <c r="D5" s="91"/>
      <c r="E5" s="92"/>
      <c r="F5" s="93" t="s">
        <v>1</v>
      </c>
      <c r="G5" s="94"/>
      <c r="H5" s="94"/>
      <c r="I5" s="95"/>
    </row>
    <row r="6" spans="1:11" ht="139.19999999999999" customHeight="1">
      <c r="A6" s="3" t="s">
        <v>2</v>
      </c>
      <c r="B6" s="96" t="s">
        <v>63</v>
      </c>
      <c r="C6" s="97"/>
      <c r="D6" s="97"/>
      <c r="E6" s="98"/>
      <c r="F6" s="173" t="s">
        <v>91</v>
      </c>
      <c r="G6" s="174"/>
      <c r="H6" s="174"/>
      <c r="I6" s="175"/>
      <c r="J6" s="18"/>
    </row>
    <row r="7" spans="1:11" ht="57" customHeight="1">
      <c r="A7" s="3" t="s">
        <v>3</v>
      </c>
      <c r="B7" s="101" t="s">
        <v>64</v>
      </c>
      <c r="C7" s="97"/>
      <c r="D7" s="97"/>
      <c r="E7" s="98"/>
      <c r="F7" s="34"/>
      <c r="G7" s="24">
        <v>304667981</v>
      </c>
      <c r="H7" s="102" t="s">
        <v>4</v>
      </c>
      <c r="I7" s="103"/>
      <c r="J7" s="19"/>
      <c r="K7" s="20"/>
    </row>
    <row r="8" spans="1:11" ht="9.75" customHeight="1">
      <c r="A8" s="104" t="s">
        <v>5</v>
      </c>
      <c r="B8" s="107">
        <f>D12</f>
        <v>304667981</v>
      </c>
      <c r="C8" s="108"/>
      <c r="D8" s="108"/>
      <c r="E8" s="109"/>
      <c r="F8" s="6" t="s">
        <v>6</v>
      </c>
      <c r="G8" s="7" t="e">
        <f>+#REF!</f>
        <v>#REF!</v>
      </c>
      <c r="H8" s="102"/>
      <c r="I8" s="103"/>
      <c r="J8" s="19"/>
    </row>
    <row r="9" spans="1:11" ht="12.75" customHeight="1">
      <c r="A9" s="105"/>
      <c r="B9" s="110"/>
      <c r="C9" s="111"/>
      <c r="D9" s="111"/>
      <c r="E9" s="112"/>
      <c r="F9" s="6" t="s">
        <v>7</v>
      </c>
      <c r="G9" s="7" t="e">
        <f>+#REF!</f>
        <v>#REF!</v>
      </c>
      <c r="H9" s="102"/>
      <c r="I9" s="103"/>
      <c r="J9" s="21"/>
    </row>
    <row r="10" spans="1:11" ht="16.5" customHeight="1">
      <c r="A10" s="105"/>
      <c r="B10" s="110"/>
      <c r="C10" s="111"/>
      <c r="D10" s="111"/>
      <c r="E10" s="112"/>
      <c r="F10" s="4"/>
      <c r="G10" s="5"/>
      <c r="H10" s="102"/>
      <c r="I10" s="103"/>
      <c r="J10" s="22"/>
    </row>
    <row r="11" spans="1:11" ht="6" customHeight="1">
      <c r="A11" s="106"/>
      <c r="B11" s="113"/>
      <c r="C11" s="114"/>
      <c r="D11" s="114"/>
      <c r="E11" s="115"/>
      <c r="F11" s="8"/>
      <c r="G11" s="9" t="s">
        <v>8</v>
      </c>
      <c r="H11" s="171"/>
      <c r="I11" s="172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304667981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11717.99926923077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70" t="s">
        <v>92</v>
      </c>
      <c r="H14" s="122"/>
      <c r="I14" s="123"/>
    </row>
  </sheetData>
  <mergeCells count="20">
    <mergeCell ref="A12:A13"/>
    <mergeCell ref="B12:B13"/>
    <mergeCell ref="H13:I13"/>
    <mergeCell ref="B14:C14"/>
    <mergeCell ref="D14:E14"/>
    <mergeCell ref="G14:I14"/>
    <mergeCell ref="B7:E7"/>
    <mergeCell ref="H7:I7"/>
    <mergeCell ref="A8:A11"/>
    <mergeCell ref="B8:E11"/>
    <mergeCell ref="H8:I8"/>
    <mergeCell ref="H9:I9"/>
    <mergeCell ref="H10:I10"/>
    <mergeCell ref="H11:I11"/>
    <mergeCell ref="A2:I2"/>
    <mergeCell ref="A3:I3"/>
    <mergeCell ref="B5:E5"/>
    <mergeCell ref="F5:I5"/>
    <mergeCell ref="B6:E6"/>
    <mergeCell ref="F6:I6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A85-482D-4BAD-90AB-7DB8EEED6D39}">
  <dimension ref="A2:K14"/>
  <sheetViews>
    <sheetView view="pageBreakPreview" topLeftCell="A6" zoomScale="60" zoomScaleNormal="100" workbookViewId="0">
      <selection activeCell="AA20" sqref="AA20:AA21"/>
    </sheetView>
  </sheetViews>
  <sheetFormatPr defaultColWidth="9" defaultRowHeight="13.8"/>
  <cols>
    <col min="1" max="1" width="18.88671875" style="1" customWidth="1"/>
    <col min="2" max="2" width="8.6640625" style="1" customWidth="1"/>
    <col min="3" max="3" width="10.6640625" style="1" customWidth="1"/>
    <col min="4" max="4" width="15.6640625" style="1" customWidth="1"/>
    <col min="5" max="5" width="9.6640625" style="1" customWidth="1"/>
    <col min="6" max="6" width="13.44140625" style="1" customWidth="1"/>
    <col min="7" max="7" width="18.44140625" style="1" customWidth="1"/>
    <col min="8" max="8" width="4.6640625" style="1" customWidth="1"/>
    <col min="9" max="9" width="4.109375" style="1" customWidth="1"/>
    <col min="10" max="10" width="13.21875" style="1" customWidth="1"/>
    <col min="11" max="16384" width="9" style="1"/>
  </cols>
  <sheetData>
    <row r="2" spans="1:11" ht="18">
      <c r="A2" s="88" t="s">
        <v>16</v>
      </c>
      <c r="B2" s="89"/>
      <c r="C2" s="89"/>
      <c r="D2" s="89"/>
      <c r="E2" s="89"/>
      <c r="F2" s="89"/>
      <c r="G2" s="89"/>
      <c r="H2" s="89"/>
      <c r="I2" s="89"/>
    </row>
    <row r="3" spans="1:11" ht="17.399999999999999">
      <c r="A3" s="89" t="s">
        <v>17</v>
      </c>
      <c r="B3" s="89"/>
      <c r="C3" s="89"/>
      <c r="D3" s="89"/>
      <c r="E3" s="89"/>
      <c r="F3" s="89"/>
      <c r="G3" s="89"/>
      <c r="H3" s="89"/>
      <c r="I3" s="89"/>
    </row>
    <row r="4" spans="1:11" ht="15.6">
      <c r="A4" s="31">
        <f ca="1">TODAY()</f>
        <v>46315</v>
      </c>
      <c r="G4" s="32" t="s">
        <v>47</v>
      </c>
    </row>
    <row r="5" spans="1:11" ht="51" customHeight="1">
      <c r="A5" s="2" t="s">
        <v>0</v>
      </c>
      <c r="B5" s="90" t="s">
        <v>48</v>
      </c>
      <c r="C5" s="91"/>
      <c r="D5" s="91"/>
      <c r="E5" s="92"/>
      <c r="F5" s="93" t="s">
        <v>1</v>
      </c>
      <c r="G5" s="94"/>
      <c r="H5" s="94"/>
      <c r="I5" s="95"/>
    </row>
    <row r="6" spans="1:11" ht="135" customHeight="1">
      <c r="A6" s="3" t="s">
        <v>2</v>
      </c>
      <c r="B6" s="96" t="s">
        <v>50</v>
      </c>
      <c r="C6" s="97"/>
      <c r="D6" s="97"/>
      <c r="E6" s="98"/>
      <c r="F6" s="99" t="s">
        <v>49</v>
      </c>
      <c r="G6" s="100"/>
      <c r="H6" s="100"/>
      <c r="I6" s="100"/>
      <c r="J6" s="18"/>
    </row>
    <row r="7" spans="1:11" ht="57" customHeight="1">
      <c r="A7" s="3" t="s">
        <v>3</v>
      </c>
      <c r="B7" s="101" t="s">
        <v>51</v>
      </c>
      <c r="C7" s="97"/>
      <c r="D7" s="97"/>
      <c r="E7" s="98"/>
      <c r="F7" s="4"/>
      <c r="G7" s="24">
        <v>40000</v>
      </c>
      <c r="H7" s="102" t="s">
        <v>4</v>
      </c>
      <c r="I7" s="103"/>
      <c r="J7" s="19"/>
      <c r="K7" s="20"/>
    </row>
    <row r="8" spans="1:11" ht="20.399999999999999" customHeight="1">
      <c r="A8" s="104" t="s">
        <v>5</v>
      </c>
      <c r="B8" s="107">
        <f>D12</f>
        <v>40000</v>
      </c>
      <c r="C8" s="108"/>
      <c r="D8" s="108"/>
      <c r="E8" s="109"/>
      <c r="F8" s="27"/>
      <c r="G8" s="24"/>
      <c r="H8" s="102"/>
      <c r="I8" s="103"/>
      <c r="J8" s="19"/>
    </row>
    <row r="9" spans="1:11" ht="20.399999999999999" customHeight="1">
      <c r="A9" s="105"/>
      <c r="B9" s="110"/>
      <c r="C9" s="111"/>
      <c r="D9" s="111"/>
      <c r="E9" s="112"/>
      <c r="F9" s="27"/>
      <c r="G9" s="24"/>
      <c r="H9" s="102"/>
      <c r="I9" s="103"/>
      <c r="J9" s="21"/>
    </row>
    <row r="10" spans="1:11" ht="20.399999999999999" customHeight="1">
      <c r="A10" s="105"/>
      <c r="B10" s="110"/>
      <c r="C10" s="111"/>
      <c r="D10" s="111"/>
      <c r="E10" s="112"/>
      <c r="F10" s="28"/>
      <c r="G10" s="24"/>
      <c r="H10" s="102"/>
      <c r="I10" s="103"/>
      <c r="J10" s="22"/>
    </row>
    <row r="11" spans="1:11" ht="20.399999999999999" customHeight="1">
      <c r="A11" s="106"/>
      <c r="B11" s="113"/>
      <c r="C11" s="114"/>
      <c r="D11" s="114"/>
      <c r="E11" s="115"/>
      <c r="F11" s="29"/>
      <c r="G11" s="24"/>
      <c r="H11" s="102"/>
      <c r="I11" s="103"/>
      <c r="J11" s="19"/>
    </row>
    <row r="12" spans="1:11" ht="36" customHeight="1">
      <c r="A12" s="116" t="s">
        <v>9</v>
      </c>
      <c r="B12" s="118"/>
      <c r="C12" s="10" t="s">
        <v>10</v>
      </c>
      <c r="D12" s="11">
        <f>G7</f>
        <v>40000</v>
      </c>
      <c r="E12" s="12" t="s">
        <v>4</v>
      </c>
      <c r="F12" s="13"/>
      <c r="I12" s="23"/>
      <c r="J12" s="25"/>
    </row>
    <row r="13" spans="1:11" ht="42.75" customHeight="1">
      <c r="A13" s="117"/>
      <c r="B13" s="117"/>
      <c r="C13" s="10" t="s">
        <v>11</v>
      </c>
      <c r="D13" s="14">
        <f>+D12/26000</f>
        <v>1.5384615384615385</v>
      </c>
      <c r="E13" s="12" t="s">
        <v>18</v>
      </c>
      <c r="F13" s="8"/>
      <c r="G13" s="15"/>
      <c r="H13" s="102"/>
      <c r="I13" s="103"/>
    </row>
    <row r="14" spans="1:11" ht="97.5" customHeight="1">
      <c r="A14" s="16" t="s">
        <v>12</v>
      </c>
      <c r="B14" s="119" t="s">
        <v>13</v>
      </c>
      <c r="C14" s="120"/>
      <c r="D14" s="119" t="s">
        <v>14</v>
      </c>
      <c r="E14" s="120"/>
      <c r="F14" s="17" t="s">
        <v>15</v>
      </c>
      <c r="G14" s="133" t="s">
        <v>70</v>
      </c>
      <c r="H14" s="122"/>
      <c r="I14" s="123"/>
    </row>
  </sheetData>
  <mergeCells count="20">
    <mergeCell ref="A2:I2"/>
    <mergeCell ref="A3:I3"/>
    <mergeCell ref="B5:E5"/>
    <mergeCell ref="F5:I5"/>
    <mergeCell ref="B6:E6"/>
    <mergeCell ref="F6:I6"/>
    <mergeCell ref="B7:E7"/>
    <mergeCell ref="H7:I7"/>
    <mergeCell ref="A8:A11"/>
    <mergeCell ref="B8:E11"/>
    <mergeCell ref="H8:I8"/>
    <mergeCell ref="H9:I9"/>
    <mergeCell ref="H10:I10"/>
    <mergeCell ref="H11:I11"/>
    <mergeCell ref="A12:A13"/>
    <mergeCell ref="B12:B13"/>
    <mergeCell ref="H13:I13"/>
    <mergeCell ref="B14:C14"/>
    <mergeCell ref="D14:E14"/>
    <mergeCell ref="G14:I14"/>
  </mergeCells>
  <phoneticPr fontId="18" type="noConversion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</vt:i4>
      </vt:variant>
    </vt:vector>
  </HeadingPairs>
  <TitlesOfParts>
    <vt:vector size="29" baseType="lpstr">
      <vt:lpstr>THANH XUÂN</vt:lpstr>
      <vt:lpstr>THANH XUÂN (2)</vt:lpstr>
      <vt:lpstr>LƯƠNG CNV</vt:lpstr>
      <vt:lpstr>BHXH</vt:lpstr>
      <vt:lpstr>THỊNH ĐẠI PHÁT</vt:lpstr>
      <vt:lpstr>VIỆT NHẬT</vt:lpstr>
      <vt:lpstr>BÁCH DUY</vt:lpstr>
      <vt:lpstr>Advanteck</vt:lpstr>
      <vt:lpstr>WIN TECH</vt:lpstr>
      <vt:lpstr>THÁI SƠN</vt:lpstr>
      <vt:lpstr>TIN BẢO LAN</vt:lpstr>
      <vt:lpstr>HẰNG ĐỈNH</vt:lpstr>
      <vt:lpstr>GBL1</vt:lpstr>
      <vt:lpstr>GLB</vt:lpstr>
      <vt:lpstr>123</vt:lpstr>
      <vt:lpstr>TOAN PHU GIAI</vt:lpstr>
      <vt:lpstr>DTT</vt:lpstr>
      <vt:lpstr>HAHAEXE</vt:lpstr>
      <vt:lpstr>FINEPRO</vt:lpstr>
      <vt:lpstr>OMI CALL</vt:lpstr>
      <vt:lpstr>TCSK OMG</vt:lpstr>
      <vt:lpstr>A&amp;B</vt:lpstr>
      <vt:lpstr>A&amp;B (2)</vt:lpstr>
      <vt:lpstr>HẰNG THANH</vt:lpstr>
      <vt:lpstr>lệ phí HQ</vt:lpstr>
      <vt:lpstr>'123'!Print_Area</vt:lpstr>
      <vt:lpstr>BHXH!Print_Area</vt:lpstr>
      <vt:lpstr>DTT!Print_Area</vt:lpstr>
      <vt:lpstr>'TOAN PHU GIAI'!Print_Area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bang nguyen</cp:lastModifiedBy>
  <cp:lastPrinted>2026-10-20T08:46:12Z</cp:lastPrinted>
  <dcterms:created xsi:type="dcterms:W3CDTF">2024-05-27T06:22:00Z</dcterms:created>
  <dcterms:modified xsi:type="dcterms:W3CDTF">2026-10-20T10:52:30Z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BA41B8548E5B408499CDEFEE7981751B_13</vt:lpwstr>
  </property>
  <property fmtid="{D5CDD505-2E9C-101B-9397-08002B2CF9AE}" pid="3" name="KSOProductBuildVer">
    <vt:lpwstr>2052-12.1.0.18608</vt:lpwstr>
  </property>
</Properties>
</file>