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3" autoFilterDateGrouping="1"/>
  </bookViews>
  <sheets>
    <sheet xmlns:r="http://schemas.openxmlformats.org/officeDocument/2006/relationships" name="712TR" sheetId="1" state="visible" r:id="rId1"/>
    <sheet xmlns:r="http://schemas.openxmlformats.org/officeDocument/2006/relationships" name="chengfeng" sheetId="2" state="visible" r:id="rId2"/>
    <sheet xmlns:r="http://schemas.openxmlformats.org/officeDocument/2006/relationships" name="CX (2)" sheetId="3" state="visible" r:id="rId3"/>
    <sheet xmlns:r="http://schemas.openxmlformats.org/officeDocument/2006/relationships" name="CX" sheetId="4" state="visible" r:id="rId4"/>
    <sheet xmlns:r="http://schemas.openxmlformats.org/officeDocument/2006/relationships" name="VONMAX  (2)" sheetId="5" state="visible" r:id="rId5"/>
    <sheet xmlns:r="http://schemas.openxmlformats.org/officeDocument/2006/relationships" name="VONMAX " sheetId="6" state="visible" r:id="rId6"/>
    <sheet xmlns:r="http://schemas.openxmlformats.org/officeDocument/2006/relationships" name="HMV2008202600" sheetId="7" state="visible" r:id="rId7"/>
    <sheet xmlns:r="http://schemas.openxmlformats.org/officeDocument/2006/relationships" name="HM25082026JI001" sheetId="8" state="visible" r:id="rId8"/>
    <sheet xmlns:r="http://schemas.openxmlformats.org/officeDocument/2006/relationships" name="HM27082026JI002" sheetId="9" state="visible" r:id="rId9"/>
    <sheet xmlns:r="http://schemas.openxmlformats.org/officeDocument/2006/relationships" name="HMSY200720260002" sheetId="10" state="visible" r:id="rId10"/>
    <sheet xmlns:r="http://schemas.openxmlformats.org/officeDocument/2006/relationships" name="HMSY200720260001" sheetId="11" state="visible" r:id="rId11"/>
    <sheet xmlns:r="http://schemas.openxmlformats.org/officeDocument/2006/relationships" name="Item" sheetId="12" state="hidden" r:id="rId12"/>
  </sheets>
  <definedNames>
    <definedName name="_xlnm.Print_Area" localSheetId="0">'712TR'!$A$1:$I$29</definedName>
    <definedName name="_xlnm.Print_Area" localSheetId="1">'chengfeng'!$A$1:$I$29</definedName>
    <definedName name="_xlnm.Print_Area" localSheetId="2">'CX (2)'!$A$1:$I$29</definedName>
    <definedName name="_xlnm.Print_Area" localSheetId="3">'CX'!$A$1:$I$29</definedName>
    <definedName name="_xlnm.Print_Area" localSheetId="4">'VONMAX  (2)'!$A$1:$I$29</definedName>
    <definedName name="_xlnm.Print_Area" localSheetId="5">'VONMAX '!$A$1:$I$29</definedName>
    <definedName name="_xlnm.Print_Area" localSheetId="6">'HMV2008202600'!$A$1:$I$28</definedName>
    <definedName name="_xlnm.Print_Area" localSheetId="7">'HM25082026JI001'!$A$1:$I$29</definedName>
    <definedName name="_xlnm.Print_Area" localSheetId="8">'HM27082026JI002'!$A$1:$I$29</definedName>
    <definedName name="_xlnm.Print_Area" localSheetId="9">'HMSY200720260002'!$A$1:$I$29</definedName>
    <definedName name="_xlnm.Print_Area" localSheetId="10">'HMSY200720260001'!$A$1:$I$29</definedName>
  </definedNames>
  <calcPr calcId="191029" fullCalcOnLoad="1"/>
</workbook>
</file>

<file path=xl/styles.xml><?xml version="1.0" encoding="utf-8"?>
<styleSheet xmlns="http://schemas.openxmlformats.org/spreadsheetml/2006/main">
  <numFmts count="6">
    <numFmt numFmtId="164" formatCode="_-&quot;$&quot;* #,##0_-;\-&quot;$&quot;* #,##0_-;_-&quot;$&quot;* &quot;-&quot;??_-;_-@_-"/>
    <numFmt numFmtId="165" formatCode="m&quot;月&quot;d&quot;日&quot;"/>
    <numFmt numFmtId="166" formatCode="_-&quot;$&quot;* #,##0.00_-;\-&quot;$&quot;* #,##0.00_-;_-&quot;$&quot;* &quot;-&quot;??_-;_-@_-"/>
    <numFmt numFmtId="167" formatCode="0\ &quot;SET&quot;"/>
    <numFmt numFmtId="168" formatCode="[$VND]\ #,##0_);\([$VND]\ #,##0\)"/>
    <numFmt numFmtId="169" formatCode="_-&quot;$&quot;* #,##0.0_-;\-&quot;$&quot;* #,##0.0_-;_-&quot;$&quot;* &quot;-&quot;?_-;_-@_-"/>
  </numFmts>
  <fonts count="44">
    <font>
      <name val="Calibri"/>
      <charset val="136"/>
      <family val="2"/>
      <color theme="1"/>
      <sz val="12"/>
      <scheme val="minor"/>
    </font>
    <font>
      <name val="Calibri"/>
      <charset val="136"/>
      <family val="2"/>
      <color theme="1"/>
      <sz val="12"/>
      <scheme val="minor"/>
    </font>
    <font>
      <name val="Calibri"/>
      <charset val="136"/>
      <family val="2"/>
      <sz val="9"/>
      <scheme val="minor"/>
    </font>
    <font>
      <name val="新細明體"/>
      <charset val="136"/>
      <family val="1"/>
      <sz val="9"/>
    </font>
    <font>
      <name val="微軟正黑體"/>
      <charset val="136"/>
      <family val="2"/>
      <b val="1"/>
      <color theme="1"/>
      <sz val="12"/>
    </font>
    <font>
      <name val="微軟正黑體"/>
      <charset val="136"/>
      <family val="2"/>
      <color theme="1"/>
      <sz val="12"/>
    </font>
    <font>
      <name val="微軟正黑體"/>
      <charset val="136"/>
      <family val="2"/>
      <b val="1"/>
      <sz val="24"/>
    </font>
    <font>
      <name val="Times New Roman"/>
      <family val="1"/>
      <b val="1"/>
      <sz val="18"/>
    </font>
    <font>
      <name val="微軟正黑體"/>
      <charset val="136"/>
      <family val="2"/>
      <color rgb="FFC00000"/>
      <sz val="12"/>
    </font>
    <font>
      <name val="微軟正黑體"/>
      <charset val="136"/>
      <family val="2"/>
      <sz val="12"/>
    </font>
    <font>
      <name val="細明體"/>
      <charset val="136"/>
      <family val="1"/>
      <b val="1"/>
      <sz val="18"/>
    </font>
    <font>
      <name val="Arial"/>
      <family val="2"/>
      <b val="1"/>
      <sz val="16"/>
    </font>
    <font>
      <name val="Arial"/>
      <family val="2"/>
      <b val="1"/>
      <sz val="14"/>
    </font>
    <font>
      <name val="Microsoft YaHei"/>
      <charset val="134"/>
      <family val="2"/>
      <b val="1"/>
      <sz val="18"/>
    </font>
    <font>
      <name val="Microsoft YaHei"/>
      <charset val="134"/>
      <family val="2"/>
      <b val="1"/>
      <sz val="12"/>
    </font>
    <font>
      <name val="Microsoft YaHei"/>
      <charset val="134"/>
      <family val="2"/>
      <sz val="16"/>
    </font>
    <font>
      <name val="Microsoft YaHei"/>
      <charset val="134"/>
      <family val="2"/>
      <sz val="14"/>
    </font>
    <font>
      <name val="Microsoft YaHei"/>
      <charset val="134"/>
      <family val="2"/>
      <b val="1"/>
      <sz val="10"/>
    </font>
    <font>
      <name val="Calibri"/>
      <charset val="163"/>
      <family val="2"/>
      <b val="1"/>
      <sz val="10"/>
    </font>
    <font>
      <name val="Arial"/>
      <family val="2"/>
      <b val="1"/>
      <sz val="18"/>
    </font>
    <font>
      <name val="Microsoft YaHei"/>
      <charset val="134"/>
      <family val="2"/>
      <b val="1"/>
      <sz val="24"/>
      <u val="single"/>
    </font>
    <font>
      <name val="STZhongsong"/>
      <charset val="134"/>
      <b val="1"/>
      <sz val="24"/>
      <u val="single"/>
    </font>
    <font>
      <name val="Times New Roman"/>
      <family val="1"/>
      <sz val="14"/>
    </font>
    <font>
      <name val="細明體"/>
      <charset val="136"/>
      <family val="2"/>
      <b val="1"/>
      <sz val="12"/>
    </font>
    <font>
      <name val="細明體"/>
      <charset val="136"/>
      <family val="2"/>
      <b val="1"/>
      <sz val="10"/>
    </font>
    <font>
      <name val="Segoe UI"/>
      <charset val="238"/>
      <family val="2"/>
      <b val="1"/>
      <color theme="1"/>
      <sz val="12"/>
    </font>
    <font>
      <name val="Calibri"/>
      <charset val="163"/>
      <family val="2"/>
      <b val="1"/>
      <color theme="1"/>
      <sz val="12"/>
    </font>
    <font>
      <name val="微軟正黑體"/>
      <charset val="136"/>
      <family val="2"/>
      <color theme="1"/>
      <sz val="18"/>
    </font>
    <font>
      <name val="新細明體"/>
      <charset val="136"/>
      <family val="2"/>
      <b val="1"/>
      <sz val="12"/>
    </font>
    <font>
      <name val="Arial"/>
      <family val="2"/>
      <b val="1"/>
      <sz val="12"/>
    </font>
    <font>
      <name val="Arial"/>
      <family val="2"/>
      <sz val="12"/>
    </font>
    <font>
      <name val="微軟正黑體"/>
      <charset val="136"/>
      <family val="2"/>
      <b val="1"/>
      <color theme="1"/>
      <sz val="16"/>
    </font>
    <font>
      <name val="Calibri"/>
      <charset val="163"/>
      <family val="2"/>
      <b val="1"/>
      <color theme="1"/>
      <sz val="16"/>
    </font>
    <font>
      <name val="Calibri"/>
      <charset val="163"/>
      <family val="2"/>
      <color theme="1"/>
      <sz val="12"/>
    </font>
    <font>
      <name val="Calibri"/>
      <family val="2"/>
      <sz val="14"/>
    </font>
    <font>
      <name val="微軟正黑體"/>
      <charset val="136"/>
      <family val="2"/>
      <b val="1"/>
      <color theme="1"/>
      <sz val="14"/>
    </font>
    <font>
      <name val="微軟正黑體"/>
      <charset val="136"/>
      <family val="2"/>
      <b val="1"/>
      <sz val="14"/>
    </font>
    <font>
      <name val="Segoe UI"/>
      <charset val="238"/>
      <family val="2"/>
      <b val="1"/>
      <sz val="10"/>
    </font>
    <font>
      <name val="微軟正黑體"/>
      <charset val="136"/>
      <family val="2"/>
      <color theme="1"/>
      <sz val="14"/>
    </font>
    <font>
      <name val="Calibri"/>
      <charset val="163"/>
      <family val="2"/>
      <sz val="16"/>
    </font>
    <font>
      <name val="Calibri"/>
      <charset val="163"/>
      <family val="2"/>
      <sz val="12"/>
    </font>
    <font>
      <name val="Microsoft YaHei"/>
      <charset val="134"/>
      <family val="2"/>
      <b val="1"/>
      <color theme="1"/>
      <sz val="12"/>
    </font>
    <font>
      <name val="微軟正黑體"/>
      <charset val="134"/>
      <family val="2"/>
      <b val="1"/>
      <color theme="1"/>
      <sz val="12"/>
    </font>
    <font>
      <name val="微軟正黑體"/>
      <charset val="136"/>
      <family val="1"/>
      <sz val="14"/>
    </font>
  </fonts>
  <fills count="3">
    <fill>
      <patternFill/>
    </fill>
    <fill>
      <patternFill patternType="gray125"/>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right style="thin">
        <color indexed="64"/>
      </right>
      <top style="thin">
        <color indexed="64"/>
      </top>
      <bottom/>
      <diagonal/>
    </border>
  </borders>
  <cellStyleXfs count="3">
    <xf numFmtId="0" fontId="1" fillId="0" borderId="0" applyAlignment="1">
      <alignment vertical="center"/>
    </xf>
    <xf numFmtId="166" fontId="1" fillId="0" borderId="0" applyAlignment="1">
      <alignment vertical="center"/>
    </xf>
    <xf numFmtId="9" fontId="1" fillId="0" borderId="0" applyAlignment="1">
      <alignment vertical="center"/>
    </xf>
  </cellStyleXfs>
  <cellXfs count="110">
    <xf numFmtId="0" fontId="0" fillId="0" borderId="0" applyAlignment="1" pivotButton="0" quotePrefix="0" xfId="0">
      <alignment vertical="center"/>
    </xf>
    <xf numFmtId="0" fontId="0" fillId="0" borderId="0" applyAlignment="1" pivotButton="0" quotePrefix="0" xfId="0">
      <alignment horizontal="center" vertical="center"/>
    </xf>
    <xf numFmtId="0" fontId="5" fillId="0" borderId="0" applyAlignment="1" pivotButton="0" quotePrefix="0" xfId="0">
      <alignment vertical="center"/>
    </xf>
    <xf numFmtId="164" fontId="5" fillId="0" borderId="0" applyAlignment="1" pivotButton="0" quotePrefix="0" xfId="1">
      <alignment vertical="center"/>
    </xf>
    <xf numFmtId="0" fontId="5" fillId="0" borderId="0" applyAlignment="1" pivotButton="0" quotePrefix="0" xfId="0">
      <alignment horizontal="center" vertical="center"/>
    </xf>
    <xf numFmtId="165" fontId="0"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horizontal="center" vertical="center"/>
    </xf>
    <xf numFmtId="164" fontId="9" fillId="0" borderId="1" applyAlignment="1" pivotButton="0" quotePrefix="0" xfId="1">
      <alignment vertical="center"/>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7" fillId="0" borderId="0" applyAlignment="1" pivotButton="0" quotePrefix="0" xfId="0">
      <alignment horizontal="left" vertical="center"/>
    </xf>
    <xf numFmtId="49" fontId="12" fillId="0" borderId="0" applyAlignment="1" pivotButton="0" quotePrefix="0" xfId="0">
      <alignment horizontal="center" vertical="center"/>
    </xf>
    <xf numFmtId="49" fontId="7" fillId="0" borderId="0" applyAlignment="1" pivotButton="0" quotePrefix="0" xfId="0">
      <alignment horizontal="center" vertical="center"/>
    </xf>
    <xf numFmtId="49" fontId="10" fillId="0" borderId="0" applyAlignment="1" pivotButton="0" quotePrefix="0" xfId="0">
      <alignment horizontal="left" vertical="center"/>
    </xf>
    <xf numFmtId="49" fontId="9" fillId="0" borderId="1" applyAlignment="1" pivotButton="0" quotePrefix="0" xfId="0">
      <alignment horizontal="center" vertical="center"/>
    </xf>
    <xf numFmtId="49" fontId="5" fillId="0" borderId="0" applyAlignment="1" pivotButton="0" quotePrefix="0" xfId="0">
      <alignment horizontal="center" vertical="center"/>
    </xf>
    <xf numFmtId="49" fontId="8" fillId="0" borderId="0" applyAlignment="1" pivotButton="0" quotePrefix="0" xfId="0">
      <alignment horizontal="center" vertical="center"/>
    </xf>
    <xf numFmtId="49" fontId="0" fillId="0" borderId="0" applyAlignment="1" pivotButton="0" quotePrefix="0" xfId="0">
      <alignment horizontal="center" vertical="center"/>
    </xf>
    <xf numFmtId="0" fontId="4" fillId="2" borderId="2" applyAlignment="1" pivotButton="0" quotePrefix="0" xfId="0">
      <alignment horizontal="center" vertical="center" wrapText="1"/>
    </xf>
    <xf numFmtId="0" fontId="4" fillId="2" borderId="3" applyAlignment="1" pivotButton="0" quotePrefix="0" xfId="0">
      <alignment horizontal="center" vertical="center"/>
    </xf>
    <xf numFmtId="0" fontId="5" fillId="0" borderId="5" applyAlignment="1" pivotButton="0" quotePrefix="0" xfId="0">
      <alignment horizontal="center" vertical="center"/>
    </xf>
    <xf numFmtId="0" fontId="4" fillId="2" borderId="3" applyAlignment="1" pivotButton="0" quotePrefix="0" xfId="0">
      <alignment horizontal="center" vertical="center" wrapText="1"/>
    </xf>
    <xf numFmtId="164" fontId="9" fillId="0" borderId="1" applyAlignment="1" pivotButton="0" quotePrefix="0" xfId="1">
      <alignment vertical="center" wrapText="1"/>
    </xf>
    <xf numFmtId="166" fontId="0" fillId="0" borderId="0" applyAlignment="1" pivotButton="0" quotePrefix="0" xfId="0">
      <alignment vertical="center"/>
    </xf>
    <xf numFmtId="164" fontId="9" fillId="0" borderId="6" applyAlignment="1" pivotButton="0" quotePrefix="0" xfId="1">
      <alignment vertical="center"/>
    </xf>
    <xf numFmtId="167" fontId="9" fillId="0" borderId="1" applyAlignment="1" pivotButton="0" quotePrefix="0" xfId="0">
      <alignment horizontal="center" vertical="center" wrapText="1"/>
    </xf>
    <xf numFmtId="49" fontId="13" fillId="0" borderId="0" applyAlignment="1" pivotButton="0" quotePrefix="0" xfId="0">
      <alignment horizontal="right" vertical="center" wrapText="1"/>
    </xf>
    <xf numFmtId="49" fontId="14" fillId="0" borderId="0" applyAlignment="1" pivotButton="0" quotePrefix="0" xfId="0">
      <alignment horizontal="right" vertical="center" wrapText="1"/>
    </xf>
    <xf numFmtId="0" fontId="29" fillId="0" borderId="0" applyAlignment="1" pivotButton="0" quotePrefix="0" xfId="0">
      <alignment horizontal="right" vertical="center"/>
    </xf>
    <xf numFmtId="49" fontId="4" fillId="2" borderId="3" applyAlignment="1" pivotButton="0" quotePrefix="0" xfId="0">
      <alignment horizontal="center" vertical="center" wrapText="1"/>
    </xf>
    <xf numFmtId="168" fontId="9" fillId="0" borderId="1" applyAlignment="1" pivotButton="0" quotePrefix="0" xfId="0">
      <alignment horizontal="center" vertical="center" wrapText="1"/>
    </xf>
    <xf numFmtId="9" fontId="9" fillId="0" borderId="1" applyAlignment="1" pivotButton="0" quotePrefix="0" xfId="2">
      <alignment horizontal="right" vertical="center" wrapText="1"/>
    </xf>
    <xf numFmtId="0" fontId="5" fillId="0" borderId="0" applyAlignment="1" pivotButton="0" quotePrefix="0" xfId="0">
      <alignment horizontal="left" vertical="center"/>
    </xf>
    <xf numFmtId="49" fontId="35" fillId="0" borderId="1" applyAlignment="1" pivotButton="0" quotePrefix="0" xfId="0">
      <alignment horizontal="center" vertical="center"/>
    </xf>
    <xf numFmtId="0" fontId="0" fillId="0" borderId="0" applyAlignment="1" pivotButton="0" quotePrefix="0" xfId="0">
      <alignment horizontal="center" vertical="center" wrapText="1"/>
    </xf>
    <xf numFmtId="49" fontId="36" fillId="0" borderId="5" applyAlignment="1" pivotButton="0" quotePrefix="0" xfId="0">
      <alignment horizontal="center" vertical="center"/>
    </xf>
    <xf numFmtId="49" fontId="35" fillId="0" borderId="7" applyAlignment="1" pivotButton="0" quotePrefix="0" xfId="0">
      <alignment horizontal="center" vertical="center"/>
    </xf>
    <xf numFmtId="0" fontId="5" fillId="0" borderId="0" applyAlignment="1" pivotButton="0" quotePrefix="0" xfId="0">
      <alignment vertical="top"/>
    </xf>
    <xf numFmtId="49" fontId="9" fillId="0" borderId="1" applyAlignment="1" pivotButton="0" quotePrefix="0" xfId="0">
      <alignment horizontal="left" vertical="center" wrapText="1"/>
    </xf>
    <xf numFmtId="164" fontId="0" fillId="0" borderId="0" applyAlignment="1" pivotButton="0" quotePrefix="0" xfId="1">
      <alignment vertical="center"/>
    </xf>
    <xf numFmtId="169" fontId="0" fillId="0" borderId="0" applyAlignment="1" pivotButton="0" quotePrefix="0" xfId="0">
      <alignment vertical="center"/>
    </xf>
    <xf numFmtId="49" fontId="35" fillId="0" borderId="0" applyAlignment="1" pivotButton="0" quotePrefix="0" xfId="0">
      <alignment horizontal="center" vertical="center"/>
    </xf>
    <xf numFmtId="0" fontId="38" fillId="0" borderId="0" applyAlignment="1" pivotButton="0" quotePrefix="0" xfId="0">
      <alignment horizontal="center" vertical="center"/>
    </xf>
    <xf numFmtId="0" fontId="38" fillId="0" borderId="0" applyAlignment="1" pivotButton="0" quotePrefix="0" xfId="0">
      <alignment vertical="center"/>
    </xf>
    <xf numFmtId="0" fontId="35" fillId="0" borderId="0" applyAlignment="1" pivotButton="0" quotePrefix="0" xfId="0">
      <alignment vertical="center"/>
    </xf>
    <xf numFmtId="14" fontId="16" fillId="0" borderId="0" applyAlignment="1" pivotButton="0" quotePrefix="0" xfId="0">
      <alignment vertical="center"/>
    </xf>
    <xf numFmtId="167" fontId="40" fillId="0" borderId="1" applyAlignment="1" pivotButton="0" quotePrefix="1" xfId="0">
      <alignment horizontal="center" vertical="center" wrapText="1"/>
    </xf>
    <xf numFmtId="0" fontId="42" fillId="2" borderId="3" applyAlignment="1" pivotButton="0" quotePrefix="0" xfId="0">
      <alignment horizontal="center" vertical="center" wrapText="1"/>
    </xf>
    <xf numFmtId="0" fontId="42" fillId="2" borderId="4" applyAlignment="1" pivotButton="0" quotePrefix="0" xfId="0">
      <alignment horizontal="center" vertical="center" wrapText="1"/>
    </xf>
    <xf numFmtId="0" fontId="5" fillId="0" borderId="19" applyAlignment="1" pivotButton="0" quotePrefix="0" xfId="0">
      <alignment horizontal="left" vertical="center"/>
    </xf>
    <xf numFmtId="0" fontId="5" fillId="0" borderId="20" applyAlignment="1" pivotButton="0" quotePrefix="0" xfId="0">
      <alignment horizontal="left" vertical="center"/>
    </xf>
    <xf numFmtId="0" fontId="5" fillId="0" borderId="21" applyAlignment="1" pivotButton="0" quotePrefix="0" xfId="0">
      <alignment horizontal="left" vertical="center"/>
    </xf>
    <xf numFmtId="0" fontId="31" fillId="0" borderId="8" applyAlignment="1" pivotButton="0" quotePrefix="0" xfId="0">
      <alignment horizontal="center" vertical="center"/>
    </xf>
    <xf numFmtId="0" fontId="31" fillId="0" borderId="9" applyAlignment="1" pivotButton="0" quotePrefix="0" xfId="0">
      <alignment horizontal="center" vertical="center"/>
    </xf>
    <xf numFmtId="0" fontId="31" fillId="0" borderId="10" applyAlignment="1" pivotButton="0" quotePrefix="0" xfId="0">
      <alignment horizontal="center" vertical="center"/>
    </xf>
    <xf numFmtId="164" fontId="27" fillId="0" borderId="12" applyAlignment="1" pivotButton="0" quotePrefix="0" xfId="0">
      <alignment horizontal="center" vertical="center"/>
    </xf>
    <xf numFmtId="0" fontId="27" fillId="0" borderId="13" applyAlignment="1" pivotButton="0" quotePrefix="0" xfId="0">
      <alignment horizontal="center" vertical="center"/>
    </xf>
    <xf numFmtId="0" fontId="27" fillId="0" borderId="11" applyAlignment="1" pivotButton="0" quotePrefix="0" xfId="0">
      <alignment horizontal="center" vertical="center"/>
    </xf>
    <xf numFmtId="0" fontId="5" fillId="0" borderId="12" applyAlignment="1" pivotButton="0" quotePrefix="0" xfId="0">
      <alignment horizontal="left" vertical="top" wrapText="1"/>
    </xf>
    <xf numFmtId="0" fontId="5" fillId="0" borderId="13" applyAlignment="1" pivotButton="0" quotePrefix="0" xfId="0">
      <alignment horizontal="left" vertical="top"/>
    </xf>
    <xf numFmtId="0" fontId="5" fillId="0" borderId="11" applyAlignment="1" pivotButton="0" quotePrefix="0" xfId="0">
      <alignment horizontal="left" vertical="top"/>
    </xf>
    <xf numFmtId="0" fontId="35" fillId="0" borderId="22" applyAlignment="1" pivotButton="0" quotePrefix="0" xfId="0">
      <alignment horizontal="center" vertical="center"/>
    </xf>
    <xf numFmtId="0" fontId="35" fillId="0" borderId="17" applyAlignment="1" pivotButton="0" quotePrefix="0" xfId="0">
      <alignment horizontal="center" vertical="center"/>
    </xf>
    <xf numFmtId="0" fontId="35" fillId="0" borderId="23" applyAlignment="1" pivotButton="0" quotePrefix="0" xfId="0">
      <alignment horizontal="center" vertical="center"/>
    </xf>
    <xf numFmtId="0" fontId="5" fillId="0" borderId="14" applyAlignment="1" pivotButton="0" quotePrefix="0" xfId="0">
      <alignment horizontal="left" vertical="center"/>
    </xf>
    <xf numFmtId="0" fontId="5" fillId="0" borderId="16" applyAlignment="1" pivotButton="0" quotePrefix="0" xfId="0">
      <alignment horizontal="left" vertical="center"/>
    </xf>
    <xf numFmtId="0" fontId="5" fillId="0" borderId="15" applyAlignment="1" pivotButton="0" quotePrefix="0" xfId="0">
      <alignment horizontal="left" vertical="center"/>
    </xf>
    <xf numFmtId="0" fontId="5" fillId="0" borderId="14" applyAlignment="1" pivotButton="0" quotePrefix="0" xfId="0">
      <alignment horizontal="center" vertical="center"/>
    </xf>
    <xf numFmtId="0" fontId="5" fillId="0" borderId="18" applyAlignment="1" pivotButton="0" quotePrefix="0" xfId="0">
      <alignment horizontal="center" vertical="center"/>
    </xf>
    <xf numFmtId="0" fontId="30"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0" applyAlignment="1" pivotButton="0" quotePrefix="0" xfId="0">
      <alignment horizontal="left" vertical="center" wrapText="1"/>
    </xf>
    <xf numFmtId="49" fontId="39" fillId="0" borderId="0" applyAlignment="1" pivotButton="0" quotePrefix="0" xfId="0">
      <alignment horizontal="left" vertical="center" wrapText="1"/>
    </xf>
    <xf numFmtId="49" fontId="15" fillId="0" borderId="0" applyAlignment="1" pivotButton="0" quotePrefix="0" xfId="0">
      <alignment horizontal="left" vertical="center" wrapText="1"/>
    </xf>
    <xf numFmtId="49" fontId="13" fillId="0" borderId="0" applyAlignment="1" pivotButton="0" quotePrefix="0" xfId="0">
      <alignment horizontal="right" vertical="center" wrapText="1"/>
    </xf>
    <xf numFmtId="0" fontId="16" fillId="0" borderId="0" applyAlignment="1" pivotButton="0" quotePrefix="0" xfId="0">
      <alignment horizontal="left" vertical="center"/>
    </xf>
    <xf numFmtId="0" fontId="6" fillId="0" borderId="0" applyAlignment="1" pivotButton="0" quotePrefix="0" xfId="0">
      <alignment horizontal="center" vertical="center"/>
    </xf>
    <xf numFmtId="0" fontId="11" fillId="0" borderId="0" applyAlignment="1" pivotButton="0" quotePrefix="0" xfId="0">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9" fillId="0" borderId="0" applyAlignment="1" pivotButton="0" quotePrefix="0" xfId="0">
      <alignment horizontal="center" vertical="center"/>
    </xf>
    <xf numFmtId="0" fontId="0" fillId="0" borderId="0" pivotButton="0" quotePrefix="0" xfId="0"/>
    <xf numFmtId="165" fontId="0" fillId="0" borderId="0" applyAlignment="1" pivotButton="0" quotePrefix="0" xfId="0">
      <alignment vertical="center"/>
    </xf>
    <xf numFmtId="166" fontId="0" fillId="0" borderId="0" applyAlignment="1" pivotButton="0" quotePrefix="0" xfId="0">
      <alignment vertical="center"/>
    </xf>
    <xf numFmtId="168" fontId="9" fillId="0" borderId="1" applyAlignment="1" pivotButton="0" quotePrefix="0" xfId="0">
      <alignment horizontal="center" vertical="center" wrapText="1"/>
    </xf>
    <xf numFmtId="164" fontId="9" fillId="0" borderId="1" applyAlignment="1" pivotButton="0" quotePrefix="0" xfId="1">
      <alignment vertical="center" wrapText="1"/>
    </xf>
    <xf numFmtId="167" fontId="40" fillId="0" borderId="1" applyAlignment="1" pivotButton="0" quotePrefix="1" xfId="0">
      <alignment horizontal="center" vertical="center" wrapText="1"/>
    </xf>
    <xf numFmtId="164" fontId="9" fillId="0" borderId="1" applyAlignment="1" pivotButton="0" quotePrefix="0" xfId="1">
      <alignment vertical="center"/>
    </xf>
    <xf numFmtId="164" fontId="9" fillId="0" borderId="6" applyAlignment="1" pivotButton="0" quotePrefix="0" xfId="1">
      <alignment vertical="center"/>
    </xf>
    <xf numFmtId="164" fontId="0" fillId="0" borderId="0" applyAlignment="1" pivotButton="0" quotePrefix="0" xfId="1">
      <alignment vertical="center"/>
    </xf>
    <xf numFmtId="167" fontId="9" fillId="0" borderId="1" applyAlignment="1" pivotButton="0" quotePrefix="0" xfId="0">
      <alignment horizontal="center" vertical="center" wrapText="1"/>
    </xf>
    <xf numFmtId="0" fontId="0" fillId="0" borderId="13" pivotButton="0" quotePrefix="0" xfId="0"/>
    <xf numFmtId="0" fontId="0" fillId="0" borderId="29" pivotButton="0" quotePrefix="0" xfId="0"/>
    <xf numFmtId="164" fontId="27" fillId="0" borderId="30" applyAlignment="1" pivotButton="0" quotePrefix="0" xfId="0">
      <alignment horizontal="center" vertical="center"/>
    </xf>
    <xf numFmtId="0" fontId="0" fillId="0" borderId="11" pivotButton="0" quotePrefix="0" xfId="0"/>
    <xf numFmtId="164" fontId="5" fillId="0" borderId="0" applyAlignment="1" pivotButton="0" quotePrefix="0" xfId="1">
      <alignment vertical="center"/>
    </xf>
    <xf numFmtId="0" fontId="5" fillId="0" borderId="30" applyAlignment="1" pivotButton="0" quotePrefix="0" xfId="0">
      <alignment horizontal="left" vertical="top" wrapText="1"/>
    </xf>
    <xf numFmtId="0" fontId="35" fillId="0" borderId="32" applyAlignment="1" pivotButton="0" quotePrefix="0" xfId="0">
      <alignment horizontal="center" vertical="center"/>
    </xf>
    <xf numFmtId="0" fontId="0" fillId="0" borderId="17" pivotButton="0" quotePrefix="0" xfId="0"/>
    <xf numFmtId="0" fontId="0" fillId="0" borderId="23" pivotButton="0" quotePrefix="0" xfId="0"/>
    <xf numFmtId="0" fontId="5" fillId="0" borderId="1" applyAlignment="1" pivotButton="0" quotePrefix="0" xfId="0">
      <alignment horizontal="left" vertical="center"/>
    </xf>
    <xf numFmtId="0" fontId="0" fillId="0" borderId="16" pivotButton="0" quotePrefix="0" xfId="0"/>
    <xf numFmtId="0" fontId="0" fillId="0" borderId="15" pivotButton="0" quotePrefix="0" xfId="0"/>
    <xf numFmtId="0" fontId="5" fillId="0" borderId="6" applyAlignment="1" pivotButton="0" quotePrefix="0" xfId="0">
      <alignment horizontal="center" vertical="center"/>
    </xf>
    <xf numFmtId="0" fontId="0" fillId="0" borderId="18" pivotButton="0" quotePrefix="0" xfId="0"/>
    <xf numFmtId="0" fontId="5" fillId="0" borderId="24" applyAlignment="1" pivotButton="0" quotePrefix="0" xfId="0">
      <alignment horizontal="left" vertical="center"/>
    </xf>
    <xf numFmtId="0" fontId="0" fillId="0" borderId="20" pivotButton="0" quotePrefix="0" xfId="0"/>
    <xf numFmtId="0" fontId="0" fillId="0" borderId="21" pivotButton="0" quotePrefix="0" xfId="0"/>
    <xf numFmtId="49" fontId="16" fillId="0" borderId="0" applyAlignment="1" pivotButton="0" quotePrefix="0" xfId="0">
      <alignment vertical="center"/>
    </xf>
  </cellXfs>
  <cellStyles count="3">
    <cellStyle name="Normal" xfId="0" builtinId="0"/>
    <cellStyle name="Currency" xfId="1" builtinId="4"/>
    <cellStyle name="Percent" xfId="2" builtin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8" tint="-0.499984740745262"/>
    <outlinePr summaryBelow="1" summaryRight="1"/>
    <pageSetUpPr fitToPage="1"/>
  </sheetPr>
  <dimension ref="A2:N31"/>
  <sheetViews>
    <sheetView view="pageBreakPreview" topLeftCell="A11" zoomScale="70" zoomScaleNormal="85" zoomScaleSheetLayoutView="70" workbookViewId="0">
      <selection activeCell="M24" sqref="M24"/>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HMV151020260001-SYTT</t>
        </is>
      </c>
      <c r="K9" s="83" t="n"/>
    </row>
    <row r="10" ht="33" customHeight="1" s="82">
      <c r="B10" s="28" t="inlineStr">
        <is>
          <t>客 戶 名 稱：
Tên khách hàng：</t>
        </is>
      </c>
      <c r="C10" s="71" t="inlineStr">
        <is>
          <t>CÔNG TY TRÁCH NHIỆM HỮU HẠN SEIYO VIỆT NAM</t>
        </is>
      </c>
      <c r="H10" s="28" t="inlineStr">
        <is>
          <t>申 請 日 期：
Ngày nộp đơn：</t>
        </is>
      </c>
      <c r="I10" s="46" t="n">
        <v>46310</v>
      </c>
      <c r="K10" s="83" t="n"/>
    </row>
    <row r="11" ht="98.40000000000001" customHeight="1" s="82">
      <c r="B11" s="75" t="inlineStr">
        <is>
          <t>專 案 名 稱：
Tên dự án：</t>
        </is>
      </c>
      <c r="C11" s="72" t="inlineStr">
        <is>
          <t>Căn cứ hợp đồng số : HMV22092026SY0001
Thực hiện các điều khoản của Dự án “Quy hoạch mạng kết nối máy công nghiệp IIoT tại nhà máy SEIYO”.
根据合同编号：HMV22092026SY0001
於 SEIYO 工廠執行 IIoT 工業機聯網網路規劃專案相關條款。</t>
        </is>
      </c>
      <c r="K11" s="83" t="n"/>
    </row>
    <row r="12" ht="41.4" customHeight="1" s="82">
      <c r="B12" s="75" t="inlineStr">
        <is>
          <t>應 付 款 日 期：
Ngày đến hạn thanh toán:</t>
        </is>
      </c>
      <c r="C12" s="73" t="inlineStr">
        <is>
          <t>25/10/2026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硬體簽約訂金 : 30%
合約：HMV22092026SY0001</t>
        </is>
      </c>
      <c r="C15" s="85" t="inlineStr">
        <is>
          <t>VND</t>
        </is>
      </c>
      <c r="D15" s="86" t="n">
        <v>712020000</v>
      </c>
      <c r="E15" s="87" t="inlineStr">
        <is>
          <t>1</t>
        </is>
      </c>
      <c r="F15" s="86">
        <f>D15*E15</f>
        <v/>
      </c>
      <c r="G15" s="32" t="n"/>
      <c r="H15" s="88">
        <f>F15*G15</f>
        <v/>
      </c>
      <c r="I15" s="89">
        <f>(F15+H15)*30%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236.4" customFormat="1" customHeight="1" s="2" thickBot="1">
      <c r="A23" s="38" t="n"/>
      <c r="B23" s="97" t="inlineStr">
        <is>
          <t xml:space="preserve">備註：1.	Sau khi ký kết hợp đồng: Thanh toán 30% giá trị hợp đồng
(213.606.000 VND - Hai Trăm Mười Ba Triệu Sáu Trăm Lẻ Sáu Nghìn đồng chẵn.) bằng hình thức chuyển khoản T/T ngay sau khi hai bên ký kết hợp đồng.
簽約完成時: 支付合約金額的 30% (越南盾 213,606,000 VND 貳億壹仟參佰陸拾萬陸仟元整) ，雙方簽約後即期以電匯（T/T）方式支付。
2.	Sau khi lắp đặt sản phẩm: Thanh toán 60% giá trị hợp đồng
(427.212.000 VND – Bốn Trăm Hai Mươi Bảy Triệu Hai Trăm Mười Hai Nghìn đồng chẵn.) kể từ ngày ký biên bản hoàn thành lắp đặt, kiểm tra và chạy thử thiết bị, thời hạn thanh toán T/T 15 ngày. 物品安裝後: 支付合約金額的 60% (越南盾 427,212,000 肆億貳仟柒佰貳拾壹萬貳仟元整) ，於設備安裝及調測完成並經雙方簽署確認文件後，付款期限為 T/T 15 天。
3.	Khi nghiệm thu đạt tiêu chuẩn: Thanh toán 10% giá trị hợp đồng
(71.202.000 VND – Bảy Mươi Mốt Triệu Hai Trăm Lẻ Hai Nghìn đồng chẵn.) kể từ ngày ký biên bản nghiệm thu bàn giao (FAC), thời hạn thanh toán T/T 30 ngày.
驗收合格時: 支付合約金額的 10% (越南盾 71,202,000 柒仟壹佰貳拾萬貳仟元整)，於最終驗收（FAC）完成並簽署驗收交付文件後，付款期限為 T/T 30 天。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2.xml><?xml version="1.0" encoding="utf-8"?>
<worksheet xmlns="http://schemas.openxmlformats.org/spreadsheetml/2006/main">
  <sheetPr>
    <tabColor theme="8" tint="-0.499984740745262"/>
    <outlinePr summaryBelow="1" summaryRight="1"/>
    <pageSetUpPr fitToPage="1"/>
  </sheetPr>
  <dimension ref="A2:N31"/>
  <sheetViews>
    <sheetView topLeftCell="A14" zoomScale="70" zoomScaleNormal="70" zoomScaleSheetLayoutView="55" workbookViewId="0">
      <selection activeCell="K14" sqref="K14"/>
    </sheetView>
  </sheetViews>
  <sheetFormatPr baseColWidth="8" defaultRowHeight="15.6"/>
  <cols>
    <col width="5.796875" bestFit="1" customWidth="1" style="82" min="1" max="1"/>
    <col width="30.3984375" customWidth="1" style="18" min="2" max="2"/>
    <col width="9" bestFit="1" customWidth="1" style="1" min="3" max="3"/>
    <col width="18"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HM20261015CF001</t>
        </is>
      </c>
      <c r="K9" s="83" t="n"/>
    </row>
    <row r="10" ht="33" customHeight="1" s="82">
      <c r="B10" s="28" t="inlineStr">
        <is>
          <t>客 戶 名 稱：
Tên khách hàng：</t>
        </is>
      </c>
      <c r="C10" s="71" t="inlineStr">
        <is>
          <t xml:space="preserve">CÔNG TY TNHH CHENG FENG LE HUA VIỆT NAM </t>
        </is>
      </c>
      <c r="H10" s="28" t="inlineStr">
        <is>
          <t>申 請 日 期：
Ngày nộp đơn：</t>
        </is>
      </c>
      <c r="I10" s="46" t="inlineStr">
        <is>
          <t>15/10/2026</t>
        </is>
      </c>
      <c r="K10" s="83" t="n"/>
    </row>
    <row r="11" ht="98.40000000000001" customHeight="1" s="82">
      <c r="B11" s="75" t="inlineStr">
        <is>
          <t>專 案 名 稱：
Tên dự án：</t>
        </is>
      </c>
      <c r="C11" s="72" t="inlineStr">
        <is>
          <t>Căn cứ hợp đồng số : HMV021020260001
Thực hiện các điều khoản thi công hệ thống mạng kết nối máy móc (IoT) tại nhà máy CHENG FENG.
根据合同编号：HMV021020260001
於 CHENG FENG 晟峰廠區執行機聯網網路佈建相關條款。</t>
        </is>
      </c>
      <c r="K11" s="83" t="n"/>
    </row>
    <row r="12" ht="41.4" customHeight="1" s="82">
      <c r="B12" s="75" t="inlineStr">
        <is>
          <t>應 付 款 日 期：
Ngày đến hạn thanh toán:</t>
        </is>
      </c>
      <c r="C12" s="73" t="inlineStr">
        <is>
          <t>25/10/2026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合約簽訂後支付訂金：30%
合約：HMV021020260001</t>
        </is>
      </c>
      <c r="C15" s="85" t="inlineStr">
        <is>
          <t>VND</t>
        </is>
      </c>
      <c r="D15" s="86" t="n">
        <v>1000000000</v>
      </c>
      <c r="E15" s="87" t="inlineStr">
        <is>
          <t>1</t>
        </is>
      </c>
      <c r="F15" s="86">
        <f>D15*E15</f>
        <v/>
      </c>
      <c r="G15" s="32" t="n"/>
      <c r="H15" s="88">
        <f>F15*G15</f>
        <v/>
      </c>
      <c r="I15" s="89">
        <f>(F15+H15)*30%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f>
        <v/>
      </c>
      <c r="G21" s="92" t="n"/>
      <c r="H21" s="92" t="n"/>
      <c r="I21" s="95" t="n"/>
    </row>
    <row r="22" ht="16.2" customFormat="1" customHeight="1" s="2" thickBot="1">
      <c r="B22" s="17" t="n"/>
      <c r="C22" s="7" t="n"/>
      <c r="D22" s="6" t="n"/>
      <c r="E22" s="7" t="n"/>
      <c r="F22" s="6" t="n"/>
      <c r="G22" s="6" t="n"/>
      <c r="H22" s="96" t="n"/>
      <c r="I22" s="96" t="n"/>
    </row>
    <row r="23" ht="246" customFormat="1" customHeight="1" s="2" thickBot="1">
      <c r="A23" s="38" t="n"/>
      <c r="B23" s="97" t="inlineStr">
        <is>
          <t xml:space="preserve">備註：1.	簽約定金：支付合約總金額之30%（越南盾 300.000.000參億元整），雙方簽約後即期以電匯（T/T）方式支付。
Đợt 1 (Tạm ứng 30%): Thanh toán 30% giá trị hợp đồng (300.000.000 VND – Ba trăm triệu đồng) bằng hình thức chuyển khoản T/T ngay sau khi hai bên ký kết hợp đồng.
2.	佈線工程款：支付合約總金額之30%（越南盾參億元整），於佈線工程完成並經雙方簽署完成確認文件後，付款期限為 T/T 30 天。
Đợt 2 (30% Thi công kéo dây/hạ tầng): Thanh toán 30% giá trị hợp đồng (300.000.000 VND – Ba trăm triệu đồng) kể từ ngày ký biên bản hoàn thành kéo cáp/hạ tầng, thời hạn thanh toán T/T 30 ngày.
3. 設備安裝款：支付合約總金額之30%（越南盾參億元整），於設備安裝及調測完成並經雙方簽署確認文件後，付款期限為 T/T 60 天.
Đợt 3 (30% Lắp đặt thiết bị): Thanh toán 30% giá trị hợp đồng (300.000.000 VND – Ba trăm triệu đồng) kể từ ngày ký biên bản hoàn thành lắp đặt, kiểm tra và chạy thử thiết bị, thời hạn thanh toán T/T 60 ngày.
4.	 驗收尾款：支付合約總金額之10%（越南盾100.000.000壹億元整），於最終驗收（FAC）完成並簽署驗收交付文件後，付款期限為 T/T 60 天. 
Đợt 4 (10% Nghiệm thu cuối cùng): Thanh toán 10% giá trị hợp đồng (100.000.000 VND – Một trăm triệu đồng) kể từ ngày ký biên bản nghiệm thu bàn giao (FAC), thời hạn thanh toán T/T 60 ngày.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3.xml><?xml version="1.0" encoding="utf-8"?>
<worksheet xmlns="http://schemas.openxmlformats.org/spreadsheetml/2006/main">
  <sheetPr>
    <tabColor theme="8" tint="-0.499984740745262"/>
    <outlinePr summaryBelow="1" summaryRight="1"/>
    <pageSetUpPr fitToPage="1"/>
  </sheetPr>
  <dimension ref="A2:N31"/>
  <sheetViews>
    <sheetView view="pageBreakPreview" topLeftCell="A9" zoomScale="70" zoomScaleNormal="85" zoomScaleSheetLayoutView="70" workbookViewId="0">
      <selection activeCell="I15" sqref="I15"/>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HM17092026-001</t>
        </is>
      </c>
      <c r="K9" s="83" t="n"/>
    </row>
    <row r="10" ht="33" customHeight="1" s="82">
      <c r="B10" s="28" t="inlineStr">
        <is>
          <t>客 戶 名 稱：
Tên khách hàng：</t>
        </is>
      </c>
      <c r="C10" s="71" t="inlineStr">
        <is>
          <t>CÔNG TY CỔ PHẦN CX TECHNOLOGY (VN)</t>
        </is>
      </c>
      <c r="H10" s="28" t="inlineStr">
        <is>
          <t>申 請 日 期：
Ngày nộp đơn：</t>
        </is>
      </c>
      <c r="I10" s="46" t="inlineStr">
        <is>
          <t>17/9/2026</t>
        </is>
      </c>
      <c r="K10" s="83" t="n"/>
    </row>
    <row r="11" ht="98.40000000000001" customHeight="1" s="82">
      <c r="B11" s="75" t="inlineStr">
        <is>
          <t>專 案 名 稱：
Tên dự án：</t>
        </is>
      </c>
      <c r="C11" s="72" t="inlineStr">
        <is>
          <t>Căn cứ ngày ký báo giá : HM20082026
  PIN BAT-EF550
根据合同编号：
BAT-EF550 電池</t>
        </is>
      </c>
      <c r="K11" s="83" t="n"/>
    </row>
    <row r="12" ht="41.4" customHeight="1" s="82">
      <c r="B12" s="75" t="inlineStr">
        <is>
          <t>應 付 款 日 期：
Ngày đến hạn thanh toán:</t>
        </is>
      </c>
      <c r="C12" s="73" t="inlineStr">
        <is>
          <t>05/10/2026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104.4" customHeight="1" s="82">
      <c r="A15" s="21" t="n">
        <v>1</v>
      </c>
      <c r="B15" s="39" t="inlineStr">
        <is>
          <t>驗收合格款 : 100%
合約：RFID設備的電池PIN THIET BI RFID (BLUEBIRD
BAT-EF550)
4250MAH 16.36WH
3.85V-4.4V</t>
        </is>
      </c>
      <c r="C15" s="85" t="inlineStr">
        <is>
          <t>VND</t>
        </is>
      </c>
      <c r="D15" s="86" t="n">
        <v>1800000</v>
      </c>
      <c r="E15" s="87" t="n">
        <v>2</v>
      </c>
      <c r="F15" s="86">
        <f>D15*E15</f>
        <v/>
      </c>
      <c r="G15" s="32" t="n">
        <v>0.08</v>
      </c>
      <c r="H15" s="88">
        <f>F15*G15</f>
        <v/>
      </c>
      <c r="I15" s="89">
        <f>(F15+H15)*100%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t="19.8"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139.8" customFormat="1" customHeight="1" s="2" thickBot="1">
      <c r="A23" s="38" t="n"/>
      <c r="B23" s="97" t="inlineStr">
        <is>
          <t xml:space="preserve">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4.xml><?xml version="1.0" encoding="utf-8"?>
<worksheet xmlns="http://schemas.openxmlformats.org/spreadsheetml/2006/main">
  <sheetPr>
    <tabColor theme="8" tint="-0.499984740745262"/>
    <outlinePr summaryBelow="1" summaryRight="1"/>
    <pageSetUpPr fitToPage="1"/>
  </sheetPr>
  <dimension ref="A2:N31"/>
  <sheetViews>
    <sheetView tabSelected="1" topLeftCell="A5" zoomScale="85" zoomScaleNormal="85" zoomScaleSheetLayoutView="55" workbookViewId="0">
      <selection activeCell="I10" sqref="I10"/>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HM21102026-001</t>
        </is>
      </c>
      <c r="K9" s="83" t="n"/>
    </row>
    <row r="10" ht="33" customHeight="1" s="82">
      <c r="B10" s="28" t="inlineStr">
        <is>
          <t>客 戶 名 稱：
Tên khách hàng：</t>
        </is>
      </c>
      <c r="C10" s="71" t="inlineStr">
        <is>
          <t>CÔNG TY CỔ PHẦN CX TECHNOLOGY (VN)</t>
        </is>
      </c>
      <c r="H10" s="28" t="inlineStr">
        <is>
          <t>申 請 日 期：
Ngày nộp đơn：</t>
        </is>
      </c>
      <c r="I10" s="109" t="inlineStr">
        <is>
          <t>21/10/2026</t>
        </is>
      </c>
      <c r="K10" s="83" t="n"/>
    </row>
    <row r="11" ht="98.40000000000001" customHeight="1" s="82">
      <c r="B11" s="75" t="inlineStr">
        <is>
          <t>專 案 名 稱：
Tên dự án：</t>
        </is>
      </c>
      <c r="C11" s="72" t="inlineStr">
        <is>
          <t>Căn cứ hợp đồng số : HMV151020250001 ký ngày 09/12/2025
RFID 硬體 (RFID Hardware) – Phần mềm tùy chỉnh chức năng hệ thống RFID
根据合同编号：HMV151020250001 簽約日期：2025年12月09日
RFID硬體（RFID Hardware）－RFID系統客製化軟體</t>
        </is>
      </c>
      <c r="K11" s="83" t="n"/>
    </row>
    <row r="12" ht="41.4" customHeight="1" s="82">
      <c r="B12" s="75" t="inlineStr">
        <is>
          <t>應 付 款 日 期：
Ngày đến hạn thanh toán:</t>
        </is>
      </c>
      <c r="C12" s="73" t="inlineStr">
        <is>
          <t>31/10/2026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驗收合格尾款：20%
合約：HMV151020250001（RFID 系統功能客製化軟體）
Thanh toán đợt Giai đoạn 3 (20% Nghiệm thu đạt tiêu chuẩn theo Biên bản nghiệm thu)</t>
        </is>
      </c>
      <c r="C15" s="85" t="inlineStr">
        <is>
          <t>VND</t>
        </is>
      </c>
      <c r="D15" s="86" t="n">
        <v>234000000</v>
      </c>
      <c r="E15" s="87" t="n">
        <v>1</v>
      </c>
      <c r="F15" s="86">
        <f>D15*E15</f>
        <v/>
      </c>
      <c r="G15" s="32" t="n"/>
      <c r="H15" s="88">
        <f>F15*G15</f>
        <v/>
      </c>
      <c r="I15" s="89">
        <f>(F15+H15)*20%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158" customFormat="1" customHeight="1" s="2" thickBot="1">
      <c r="A23" s="38" t="n"/>
      <c r="B23" s="97" t="inlineStr">
        <is>
          <t xml:space="preserve">備註：Căn cứ Mục A – Phương thức thanh toán của Hợp đồng số HMV151020250001:
1. Sau khi ký kết hợp đồng: thanh toán 40% giá trị hợp đồng = 93.600.000 VNĐ (Chín mươi ba triệu sáu trăm nghìn đồng).
1. 簽約完成時：支付合約金額40%＝93,600,000越盾（玖仟參佰陸拾萬越盾整）。
2. Sau khi triển khai sản phẩm đưa vào sử dụng: thanh toán 40% giá trị hợp đồng = 93.600.000 VNĐ (Chín mươi ba triệu sáu trăm nghìn đồng).
2. 產品安裝後：支付合約金額40%＝93,600,000越盾（玖仟參佰陸拾萬越盾整）。
3. Khi nghiệm thu đạt tiêu chuẩn: thanh toán 20% còn lại = 46.800.000 VNĐ (Bốn mươi sáu triệu tám trăm nghìn đồng).
3. 驗收合格時：支付尾款20%＝46,800,000越盾（肆仟陸佰捌拾萬越盾整）。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5.xml><?xml version="1.0" encoding="utf-8"?>
<worksheet xmlns="http://schemas.openxmlformats.org/spreadsheetml/2006/main">
  <sheetPr>
    <tabColor theme="8" tint="-0.499984740745262"/>
    <outlinePr summaryBelow="1" summaryRight="1"/>
    <pageSetUpPr fitToPage="1"/>
  </sheetPr>
  <dimension ref="A2:N31"/>
  <sheetViews>
    <sheetView topLeftCell="A12" zoomScale="70" zoomScaleNormal="70" zoomScaleSheetLayoutView="55" workbookViewId="0">
      <selection activeCell="J12" sqref="J12"/>
    </sheetView>
  </sheetViews>
  <sheetFormatPr baseColWidth="8" defaultRowHeight="15.6"/>
  <cols>
    <col width="5.796875" bestFit="1" customWidth="1" style="82" min="1" max="1"/>
    <col width="30.3984375" customWidth="1" style="18" min="2" max="2"/>
    <col width="9" bestFit="1" customWidth="1" style="1" min="3" max="3"/>
    <col width="18"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HM20260919-VX001</t>
        </is>
      </c>
      <c r="K9" s="83" t="n"/>
    </row>
    <row r="10" ht="33" customHeight="1" s="82">
      <c r="B10" s="28" t="inlineStr">
        <is>
          <t>客 戶 名 稱：
Tên khách hàng：</t>
        </is>
      </c>
      <c r="C10" s="71" t="inlineStr">
        <is>
          <t xml:space="preserve">CÔ NG TY TNHH VONMAX INDUSTRIAL </t>
        </is>
      </c>
      <c r="H10" s="28" t="inlineStr">
        <is>
          <t>申 請 日 期：
Ngày nộp đơn：</t>
        </is>
      </c>
      <c r="I10" s="46" t="inlineStr">
        <is>
          <t>19/9/2026</t>
        </is>
      </c>
      <c r="K10" s="83" t="n"/>
    </row>
    <row r="11" ht="98.40000000000001" customHeight="1" s="82">
      <c r="B11" s="75" t="inlineStr">
        <is>
          <t>專 案 名 稱：
Tên dự án：</t>
        </is>
      </c>
      <c r="C11" s="72" t="inlineStr">
        <is>
          <t>Căn cứ hợp đồng số : HMV060620250002
thực hiện các điều khoản tùy chỉnh Phần cứng IoT SMB tại nhà máy Vonmax Bắc Ninh
根据合同编号：HMV060620250002
於 Vonmax 北寧廠執行 IoT SMB 硬體客製化相關條款。</t>
        </is>
      </c>
      <c r="K11" s="83" t="n"/>
    </row>
    <row r="12" ht="41.4" customHeight="1" s="82">
      <c r="B12" s="75" t="inlineStr">
        <is>
          <t>應 付 款 日 期：
Ngày đến hạn thanh toán:</t>
        </is>
      </c>
      <c r="C12" s="73" t="inlineStr">
        <is>
          <t>19/10/2026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驗收合格款 : 10%
合約：HMV060620250002</t>
        </is>
      </c>
      <c r="C15" s="85" t="inlineStr">
        <is>
          <t>VND</t>
        </is>
      </c>
      <c r="D15" s="86" t="n">
        <v>545454545</v>
      </c>
      <c r="E15" s="87" t="inlineStr">
        <is>
          <t>1</t>
        </is>
      </c>
      <c r="F15" s="86">
        <f>D15*E15</f>
        <v/>
      </c>
      <c r="G15" s="32" t="n"/>
      <c r="H15" s="88">
        <f>F15*G15</f>
        <v/>
      </c>
      <c r="I15" s="89" t="n">
        <v>54545454</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f>
        <v/>
      </c>
      <c r="G21" s="92" t="n"/>
      <c r="H21" s="92" t="n"/>
      <c r="I21" s="95" t="n"/>
    </row>
    <row r="22" ht="16.2" customFormat="1" customHeight="1" s="2" thickBot="1">
      <c r="B22" s="17" t="n"/>
      <c r="C22" s="7" t="n"/>
      <c r="D22" s="6" t="n"/>
      <c r="E22" s="7" t="n"/>
      <c r="F22" s="6" t="n"/>
      <c r="G22" s="6" t="n"/>
      <c r="H22" s="96" t="n"/>
      <c r="I22" s="96" t="n"/>
    </row>
    <row r="23" ht="139.8" customFormat="1" customHeight="1" s="2" thickBot="1">
      <c r="A23" s="38" t="n"/>
      <c r="B23" s="97" t="inlineStr">
        <is>
          <t xml:space="preserve">備註：Đợt 1.簽約完成時：簽約後支付合約總金額之30% – 163,636,364 越盾。
Thanh toán 30% giá trị hợp đồng sau khi ký hợp đồng – 163.636.364 VND
Đợt 2: Thanh toán 60% giá trị hợp đồng sau khi lắp đặt hoàn tất – 327.272.727 VND.
第二期：設備安裝完成後支付合約總金額之60% – 327,272,727 越盾
Đợt 3: Thanh toán 10% giá trị hợp đồng sau khi nghiệm thu đạt yêu cầu – 54.545.454 VND.
第三期：驗收合格後支付合約總金額之10% – 54,545,454 越盾。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6.xml><?xml version="1.0" encoding="utf-8"?>
<worksheet xmlns="http://schemas.openxmlformats.org/spreadsheetml/2006/main">
  <sheetPr>
    <tabColor theme="8" tint="-0.499984740745262"/>
    <outlinePr summaryBelow="1" summaryRight="1"/>
    <pageSetUpPr fitToPage="1"/>
  </sheetPr>
  <dimension ref="A2:N31"/>
  <sheetViews>
    <sheetView topLeftCell="A6" zoomScale="85" zoomScaleNormal="85" zoomScaleSheetLayoutView="55" workbookViewId="0">
      <selection activeCell="C11" sqref="C11:I11"/>
    </sheetView>
  </sheetViews>
  <sheetFormatPr baseColWidth="8" defaultRowHeight="15.6"/>
  <cols>
    <col width="5.796875" bestFit="1" customWidth="1" style="82" min="1" max="1"/>
    <col width="30.3984375" customWidth="1" style="18" min="2" max="2"/>
    <col width="9" bestFit="1" customWidth="1" style="1" min="3" max="3"/>
    <col width="18"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HM20260919-VX</t>
        </is>
      </c>
      <c r="K9" s="83" t="n"/>
    </row>
    <row r="10" ht="33" customHeight="1" s="82">
      <c r="B10" s="28" t="inlineStr">
        <is>
          <t>客 戶 名 稱：
Tên khách hàng：</t>
        </is>
      </c>
      <c r="C10" s="71" t="inlineStr">
        <is>
          <t xml:space="preserve">CÔ NG TY TNHH VONMAX INDUSTRIAL </t>
        </is>
      </c>
      <c r="H10" s="28" t="inlineStr">
        <is>
          <t>申 請 日 期：
Ngày nộp đơn：</t>
        </is>
      </c>
      <c r="I10" s="46" t="inlineStr">
        <is>
          <t>19/9/2026</t>
        </is>
      </c>
      <c r="K10" s="83" t="n"/>
    </row>
    <row r="11" ht="98.40000000000001" customHeight="1" s="82">
      <c r="B11" s="75" t="inlineStr">
        <is>
          <t>專 案 名 稱：
Tên dự án：</t>
        </is>
      </c>
      <c r="C11" s="72" t="inlineStr">
        <is>
          <t>Căn cứ hợp đồng số : HMV060620250001
Hợp đồng quy định việc thực hiện các điều khoản tùy chỉnh Hệ thống phần mềm IoT Visual SMB tại nhà máy Vonmax Bắc Ninh
根据合同编号：HMV060620250001
本合約規定於 Vonmax 北寧廠執行 IoT Visual SMB 軟體系統客製化相關條款。</t>
        </is>
      </c>
      <c r="K11" s="83" t="n"/>
    </row>
    <row r="12" ht="41.4" customHeight="1" s="82">
      <c r="B12" s="75" t="inlineStr">
        <is>
          <t>應 付 款 日 期：
Ngày đến hạn thanh toán:</t>
        </is>
      </c>
      <c r="C12" s="73" t="inlineStr">
        <is>
          <t>19/10/2026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驗收合格款 : 10%
合約：HMV060620250001</t>
        </is>
      </c>
      <c r="C15" s="85" t="inlineStr">
        <is>
          <t>VND</t>
        </is>
      </c>
      <c r="D15" s="86" t="n">
        <v>1100000000</v>
      </c>
      <c r="E15" s="87" t="inlineStr">
        <is>
          <t>1</t>
        </is>
      </c>
      <c r="F15" s="86">
        <f>D15*E15</f>
        <v/>
      </c>
      <c r="G15" s="32" t="n"/>
      <c r="H15" s="88">
        <f>F15*G15</f>
        <v/>
      </c>
      <c r="I15" s="89">
        <f>(F15+H15)*10%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139.8" customFormat="1" customHeight="1" s="2" thickBot="1">
      <c r="A23" s="38" t="n"/>
      <c r="B23" s="97" t="inlineStr">
        <is>
          <t xml:space="preserve">備註：1.簽約完成時：支付合約金額的 30%(越南盾 330,000,000 參億參仟萬圓整)。
Sau khi ký kết hợp đồng: Thanh Toán 30 % giá trị hợp đồng (330,000,000 VND- Ba Trăm Ba Mươi Triệu Đồng)
2. 物品安裝後：支付合約金額的 60%(越南盾 660,000,000 陸億陸仟萬圓整)。
Sau khi Lắp Đặt Sản Phẩm: Thanh Toán 60% giá trị hợp đồng(660,000,000 VND - Sáu Trăm Sáu Mươi Triệu Đồng )
3. 驗收合格時：支付合約金額的 10% ((越南盾 110,000,000 壹億壹仟萬圓整)。
Khi Nghiệm Thu Đạt Tiêu Chuẩn : Thanh Toán 10% giá trị hợp đồng(110,000,000 VND - Một Trăm Mười Triệu Đồng)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7.xml><?xml version="1.0" encoding="utf-8"?>
<worksheet xmlns="http://schemas.openxmlformats.org/spreadsheetml/2006/main">
  <sheetPr>
    <tabColor theme="8" tint="-0.499984740745262"/>
    <outlinePr summaryBelow="1" summaryRight="1"/>
    <pageSetUpPr fitToPage="1"/>
  </sheetPr>
  <dimension ref="A2:N30"/>
  <sheetViews>
    <sheetView view="pageBreakPreview" topLeftCell="A6" zoomScale="70" zoomScaleNormal="85" zoomScaleSheetLayoutView="70" workbookViewId="0">
      <selection activeCell="C11" sqref="C11:I11"/>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HM280820260001-XTT</t>
        </is>
      </c>
      <c r="K9" s="83" t="n"/>
    </row>
    <row r="10" ht="33" customHeight="1" s="82">
      <c r="B10" s="28" t="inlineStr">
        <is>
          <t>客 戶 名 稱：
Tên khách hàng：</t>
        </is>
      </c>
      <c r="C10" s="71" t="inlineStr">
        <is>
          <t>CÔNG TY TNHH VONMAX INDUSTRIAL VIỆT NAM</t>
        </is>
      </c>
      <c r="H10" s="28" t="inlineStr">
        <is>
          <t>申 請 日 期：
Ngày nộp đơn：</t>
        </is>
      </c>
      <c r="I10" s="46" t="inlineStr">
        <is>
          <t>28/8/2026</t>
        </is>
      </c>
      <c r="K10" s="83" t="n"/>
    </row>
    <row r="11" ht="98.40000000000001" customHeight="1" s="82">
      <c r="B11" s="75" t="inlineStr">
        <is>
          <t>專 案 名 稱：
Tên dự án：</t>
        </is>
      </c>
      <c r="C11" s="72" t="inlineStr">
        <is>
          <t>Căn cứ hợp đồng số :  HMV2008202600
Giải pháp tiết kiệm năng lượng và quản lý năng lượng cho nhà máy Vonmax Bắc Ninh
Vonmax
根据合同编号： HMV2008202600
 北寧廠節能及能源管理解決方案</t>
        </is>
      </c>
      <c r="K11" s="83" t="n"/>
    </row>
    <row r="12" ht="41.4" customHeight="1" s="82">
      <c r="B12" s="75" t="inlineStr">
        <is>
          <t>應 付 款 日 期：
Ngày đến hạn thanh toán:</t>
        </is>
      </c>
      <c r="C12" s="73" t="inlineStr">
        <is>
          <t>10/09/2026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硬體簽約訂金 : 100%
合約：HMV2008202600</t>
        </is>
      </c>
      <c r="C15" s="85" t="inlineStr">
        <is>
          <t>VND</t>
        </is>
      </c>
      <c r="D15" s="86" t="n">
        <v>400900000</v>
      </c>
      <c r="E15" s="87" t="inlineStr">
        <is>
          <t>1</t>
        </is>
      </c>
      <c r="F15" s="86">
        <f>D15*E15</f>
        <v/>
      </c>
      <c r="G15" s="32" t="n"/>
      <c r="H15" s="88">
        <f>F15*G15</f>
        <v/>
      </c>
      <c r="I15" s="89">
        <f>(F15+H15)</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customFormat="1" s="2">
      <c r="B22" s="17" t="n"/>
      <c r="C22" s="7" t="n"/>
      <c r="D22" s="6" t="n"/>
      <c r="E22" s="7" t="n"/>
      <c r="F22" s="6" t="n"/>
      <c r="G22" s="6" t="n"/>
      <c r="H22" s="96" t="n"/>
      <c r="I22" s="96" t="n"/>
    </row>
    <row r="23" ht="18" customFormat="1" customHeight="1" s="2">
      <c r="A23" s="33" t="n"/>
      <c r="B23" s="98" t="inlineStr">
        <is>
          <t xml:space="preserve"> </t>
        </is>
      </c>
      <c r="C23" s="99" t="n"/>
      <c r="D23" s="99" t="n"/>
      <c r="E23" s="99" t="n"/>
      <c r="F23" s="99" t="n"/>
      <c r="G23" s="99" t="n"/>
      <c r="H23" s="99" t="n"/>
      <c r="I23" s="100" t="n"/>
    </row>
    <row r="24" ht="18" customFormat="1" customHeight="1" s="2">
      <c r="B24" s="36" t="inlineStr">
        <is>
          <t>銀行帳戶名稱</t>
        </is>
      </c>
      <c r="C24" s="101" t="inlineStr">
        <is>
          <t>CÔNG TY TNHH TOÀN CẦU HONG MING</t>
        </is>
      </c>
      <c r="D24" s="102" t="n"/>
      <c r="E24" s="102" t="n"/>
      <c r="F24" s="103" t="n"/>
      <c r="G24" s="34" t="inlineStr">
        <is>
          <t>銀行帳號</t>
        </is>
      </c>
      <c r="H24" s="104" t="inlineStr">
        <is>
          <t>604080006546(VND)</t>
        </is>
      </c>
      <c r="I24" s="105" t="n"/>
    </row>
    <row r="25" ht="18.6" customFormat="1" customHeight="1" s="2" thickBot="1">
      <c r="B25" s="37" t="inlineStr">
        <is>
          <t>銀行名稱</t>
        </is>
      </c>
      <c r="C25" s="106" t="inlineStr">
        <is>
          <t>CATHAY UNITED BANK – HO CHI MINH CITY BRANCH</t>
        </is>
      </c>
      <c r="D25" s="107" t="n"/>
      <c r="E25" s="107" t="n"/>
      <c r="F25" s="107" t="n"/>
      <c r="G25" s="107" t="n"/>
      <c r="H25" s="107" t="n"/>
      <c r="I25" s="108" t="n"/>
    </row>
    <row r="26" customFormat="1" s="2">
      <c r="B26" s="16" t="n"/>
      <c r="C26" s="4" t="n"/>
      <c r="E26" s="4" t="n"/>
    </row>
    <row r="27" ht="18" customFormat="1" customHeight="1" s="2">
      <c r="B27" s="42" t="inlineStr">
        <is>
          <t>買方主管</t>
        </is>
      </c>
      <c r="C27" s="43" t="n"/>
      <c r="D27" s="44" t="n"/>
      <c r="E27" s="43" t="n"/>
      <c r="F27" s="45" t="inlineStr">
        <is>
          <t>申請單位</t>
        </is>
      </c>
    </row>
    <row r="28" customFormat="1" s="2">
      <c r="B28" s="16" t="n"/>
      <c r="C28" s="4" t="n"/>
      <c r="E28" s="4" t="n"/>
    </row>
    <row r="29" customFormat="1" s="2">
      <c r="B29" s="16" t="n"/>
      <c r="C29" s="4" t="n"/>
      <c r="E29" s="4" t="n"/>
    </row>
    <row r="30" customFormat="1" s="2">
      <c r="B30" s="16" t="n"/>
      <c r="C30" s="4" t="n"/>
      <c r="E30" s="4" t="n"/>
    </row>
  </sheetData>
  <mergeCells count="18">
    <mergeCell ref="A21:E21"/>
    <mergeCell ref="H12:I12"/>
    <mergeCell ref="F12:G12"/>
    <mergeCell ref="B8:I8"/>
    <mergeCell ref="B6:I6"/>
    <mergeCell ref="H7:I7"/>
    <mergeCell ref="B2:I2"/>
    <mergeCell ref="C10:G10"/>
    <mergeCell ref="H24:I24"/>
    <mergeCell ref="B3:I3"/>
    <mergeCell ref="B5:I5"/>
    <mergeCell ref="F21:I21"/>
    <mergeCell ref="C24:F24"/>
    <mergeCell ref="C11:I11"/>
    <mergeCell ref="C12:E12"/>
    <mergeCell ref="H9:I9"/>
    <mergeCell ref="C25:I25"/>
    <mergeCell ref="B23:I23"/>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8.xml><?xml version="1.0" encoding="utf-8"?>
<worksheet xmlns="http://schemas.openxmlformats.org/spreadsheetml/2006/main">
  <sheetPr>
    <tabColor theme="8" tint="-0.499984740745262"/>
    <outlinePr summaryBelow="1" summaryRight="1"/>
    <pageSetUpPr fitToPage="1"/>
  </sheetPr>
  <dimension ref="A2:N31"/>
  <sheetViews>
    <sheetView view="pageBreakPreview" topLeftCell="A7" zoomScale="70" zoomScaleNormal="85" zoomScaleSheetLayoutView="70" workbookViewId="0">
      <selection activeCell="C11" sqref="C11:I11"/>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HM280820260002-XTT</t>
        </is>
      </c>
      <c r="K9" s="83" t="n"/>
    </row>
    <row r="10" ht="33" customHeight="1" s="82">
      <c r="B10" s="28" t="inlineStr">
        <is>
          <t>客 戶 名 稱：
Tên khách hàng：</t>
        </is>
      </c>
      <c r="C10" s="71" t="inlineStr">
        <is>
          <t xml:space="preserve">CÔNG TY TNHH VẬT LIỆU ĐIỆN TỬ JI YANG 吉洋電子材料有限公司 </t>
        </is>
      </c>
      <c r="H10" s="28" t="inlineStr">
        <is>
          <t>申 請 日 期：
Ngày nộp đơn：</t>
        </is>
      </c>
      <c r="I10" s="46" t="inlineStr">
        <is>
          <t>28/8/2026</t>
        </is>
      </c>
      <c r="K10" s="83" t="n"/>
    </row>
    <row r="11" ht="98.40000000000001" customHeight="1" s="82">
      <c r="B11" s="75" t="inlineStr">
        <is>
          <t>專 案 名 稱：
Tên dự án：</t>
        </is>
      </c>
      <c r="C11" s="72" t="inlineStr">
        <is>
          <t>Căn cứ hợp đồng số :  HM25082026JI001
Dự án Hệ thống quản lý trực quan báo cáo sản xuất PRS
根据合同编号： HM25082026JI001
PRS報工可視化管理系統專案達成一致</t>
        </is>
      </c>
      <c r="K11" s="83" t="n"/>
    </row>
    <row r="12" ht="41.4" customHeight="1" s="82">
      <c r="B12" s="75" t="inlineStr">
        <is>
          <t>應 付 款 日 期：
Ngày đến hạn thanh toán:</t>
        </is>
      </c>
      <c r="C12" s="73" t="inlineStr">
        <is>
          <t>10/09/2026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軟體合約簽約訂金 : 30%
合約：HM25082026JI001</t>
        </is>
      </c>
      <c r="C15" s="85" t="inlineStr">
        <is>
          <t>VND</t>
        </is>
      </c>
      <c r="D15" s="86" t="n">
        <v>495000000</v>
      </c>
      <c r="E15" s="87" t="inlineStr">
        <is>
          <t>1</t>
        </is>
      </c>
      <c r="F15" s="86">
        <f>D15*E15</f>
        <v/>
      </c>
      <c r="G15" s="32" t="n"/>
      <c r="H15" s="88">
        <f>F15*G15</f>
        <v/>
      </c>
      <c r="I15" s="89">
        <f>(F15+H15)*30%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163.8" customFormat="1" customHeight="1" s="2" thickBot="1">
      <c r="A23" s="38" t="n"/>
      <c r="B23" s="97" t="inlineStr">
        <is>
          <t xml:space="preserve">
備註：1.Sau khi ký kết hợp đồng: Thanh toán 30% giá trị hợp đồng( 148.500.000  VND - Một Trăm Bốn Mươi Tám Triệu Năm Trăm Nghìn đồng chẵn.)
簽約完成時: 支付合約金額的 30% (越南盾  148,500,000  壹億肆仟捌佰伍拾萬元整)。
2.Sau khi triển khai và cài đặt hệ thống: Thanh toán 55% giá trị hợp đồng (272.250.000  VND – Hai Trăm Bảy Mươi Hai Triệu Hai Trăm Năm Mươi Nghìn đồng chẵn.)系統部署與安裝完成時： 支付合約金額的 55%（越南盾 272,250,000 貳億柒仟貳佰貳拾伍萬元整）。
3.Khi nghiệm thu đạt tiêu chuẩn: Thanh toán 15% giá trị hợp đồng(74.250.000  VND –  Bảy Mươi Tư Triệu Hai Trăm Năm Mươi Nghìn đồng chẵn.)
 驗收合格時: 支付合約金額的 15% (越南盾74,250,000  柒仟肆佰貳拾伍萬元整)。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9.xml><?xml version="1.0" encoding="utf-8"?>
<worksheet xmlns="http://schemas.openxmlformats.org/spreadsheetml/2006/main">
  <sheetPr>
    <tabColor theme="8" tint="-0.499984740745262"/>
    <outlinePr summaryBelow="1" summaryRight="1"/>
    <pageSetUpPr fitToPage="1"/>
  </sheetPr>
  <dimension ref="A2:N31"/>
  <sheetViews>
    <sheetView view="pageBreakPreview" topLeftCell="A4" zoomScale="70" zoomScaleNormal="85" zoomScaleSheetLayoutView="70" workbookViewId="0">
      <selection activeCell="H15" sqref="H15"/>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HM280820260001-XTT</t>
        </is>
      </c>
      <c r="K9" s="83" t="n"/>
    </row>
    <row r="10" ht="33" customHeight="1" s="82">
      <c r="B10" s="28" t="inlineStr">
        <is>
          <t>客 戶 名 稱：
Tên khách hàng：</t>
        </is>
      </c>
      <c r="C10" s="71" t="inlineStr">
        <is>
          <t xml:space="preserve">CÔNG TY TNHH VẬT LIỆU ĐIỆN TỬ JI YANG 吉洋電子材料有限公司 </t>
        </is>
      </c>
      <c r="H10" s="28" t="inlineStr">
        <is>
          <t>申 請 日 期：
Ngày nộp đơn：</t>
        </is>
      </c>
      <c r="I10" s="46" t="inlineStr">
        <is>
          <t>28/8/2026</t>
        </is>
      </c>
      <c r="K10" s="83" t="n"/>
    </row>
    <row r="11" ht="98.40000000000001" customHeight="1" s="82">
      <c r="B11" s="75" t="inlineStr">
        <is>
          <t>專 案 名 稱：
Tên dự án：</t>
        </is>
      </c>
      <c r="C11" s="72" t="inlineStr">
        <is>
          <t>Căn cứ hợp đồng số : HMV070320260001
phần mềm hệ thống MES Lite cho nhàmáy Hải Dương của JINXUN
根据合同编号：HMV070320260001
JINXUN 海陽工廠 MES Lite 系統</t>
        </is>
      </c>
      <c r="K11" s="83" t="n"/>
    </row>
    <row r="12" ht="41.4" customHeight="1" s="82">
      <c r="B12" s="75" t="inlineStr">
        <is>
          <t>應 付 款 日 期：
Ngày đến hạn thanh toán:</t>
        </is>
      </c>
      <c r="C12" s="73" t="inlineStr">
        <is>
          <t>10/09/2026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軟體簽約訂金 : 30%
合約：HMV070320260001</t>
        </is>
      </c>
      <c r="C15" s="85" t="inlineStr">
        <is>
          <t>VND</t>
        </is>
      </c>
      <c r="D15" s="86" t="n">
        <v>165000000</v>
      </c>
      <c r="E15" s="87" t="inlineStr">
        <is>
          <t>1</t>
        </is>
      </c>
      <c r="F15" s="86">
        <f>D15*E15</f>
        <v/>
      </c>
      <c r="G15" s="32" t="n">
        <v>0.08</v>
      </c>
      <c r="H15" s="88">
        <f>F15*G15</f>
        <v/>
      </c>
      <c r="I15" s="89">
        <f>(F15+H15)*30%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139.8" customFormat="1" customHeight="1" s="2" thickBot="1">
      <c r="A23" s="38" t="n"/>
      <c r="B23" s="97" t="inlineStr">
        <is>
          <t xml:space="preserve">備註：1.Sau khi ký kết hợp đồng: Thanh toán 30% giá trị hợp đồng(53.460.000 VND - Năm Mươi Ba Triệu Bốn Trăm Sáu Mươi Nghìn đồng chẵn.)
簽約完成時：支付合約金額的30%(越南盾 53,460,000 伍仟參佰肆拾陸萬整)
2.Sau khi lắp đặt sản phẩm: Thanh toán 55% giá trị hợp đồng (98.010.000 VND - Chín Mươi Tám Triệu Không Trăm Mười Nghìn đồng chẵn.)
 物品安裝後：支付合約金額的55%(越南盾 98,010,000 玖仟捌佰零壹萬元整)。
3,Khi nghiệm thu đạt tiêu chuẩn: Thanh toán 15% giá trị hợp đồng(26.730.000 VND - Hai Mươi Sáu Triệu Bảy Trăm Ba Mươi Nghìn đồng chẵn.) 
驗收合格時：支付合約金額的15%(越南盾 26,730,000 盾貳仟陸佰柒拾參萬整)。。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10.xml><?xml version="1.0" encoding="utf-8"?>
<worksheet xmlns="http://schemas.openxmlformats.org/spreadsheetml/2006/main">
  <sheetPr>
    <tabColor theme="8" tint="-0.499984740745262"/>
    <outlinePr summaryBelow="1" summaryRight="1"/>
    <pageSetUpPr fitToPage="1"/>
  </sheetPr>
  <dimension ref="A2:N31"/>
  <sheetViews>
    <sheetView view="pageBreakPreview" topLeftCell="A6" zoomScale="70" zoomScaleNormal="85" zoomScaleSheetLayoutView="70" workbookViewId="0">
      <selection activeCell="C11" sqref="C11:I11"/>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HMV060820260001-XTT</t>
        </is>
      </c>
      <c r="K9" s="83" t="n"/>
    </row>
    <row r="10" ht="33" customHeight="1" s="82">
      <c r="B10" s="28" t="inlineStr">
        <is>
          <t>客 戶 名 稱：
Tên khách hàng：</t>
        </is>
      </c>
      <c r="C10" s="71" t="inlineStr">
        <is>
          <t>CÔNG TY TRÁCH NHIỆM HỮU HẠN SEIYO VIỆT NAM</t>
        </is>
      </c>
      <c r="H10" s="28" t="inlineStr">
        <is>
          <t>申 請 日 期：
Ngày nộp đơn：</t>
        </is>
      </c>
      <c r="I10" s="46" t="n">
        <v>46239</v>
      </c>
      <c r="K10" s="83" t="n"/>
    </row>
    <row r="11" ht="98.40000000000001" customHeight="1" s="82">
      <c r="B11" s="75" t="inlineStr">
        <is>
          <t>專 案 名 稱：
Tên dự án：</t>
        </is>
      </c>
      <c r="C11" s="72" t="inlineStr">
        <is>
          <t xml:space="preserve">Căn cứ hợp đồng số : HMSY200720260002
Phần cứng triển khai mạng kết nối máy móc cho hệ thống SMB
根据合同编号：HMSY200720260002
SMB系統機聯網網路佈建硬體 </t>
        </is>
      </c>
      <c r="K11" s="83" t="n"/>
    </row>
    <row r="12" ht="41.4" customHeight="1" s="82">
      <c r="B12" s="75" t="inlineStr">
        <is>
          <t>應 付 款 日 期：
Ngày đến hạn thanh toán:</t>
        </is>
      </c>
      <c r="C12" s="73" t="inlineStr">
        <is>
          <t>15/08/2026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硬體簽約訂金 : 30%
合約：HMSY200720260002</t>
        </is>
      </c>
      <c r="C15" s="85" t="inlineStr">
        <is>
          <t>VND</t>
        </is>
      </c>
      <c r="D15" s="86" t="n">
        <v>350260000</v>
      </c>
      <c r="E15" s="87" t="inlineStr">
        <is>
          <t>1</t>
        </is>
      </c>
      <c r="F15" s="86">
        <f>D15*E15</f>
        <v/>
      </c>
      <c r="G15" s="32" t="n">
        <v>0.08</v>
      </c>
      <c r="H15" s="88">
        <f>F15*G15</f>
        <v/>
      </c>
      <c r="I15" s="89">
        <f>(F15+H15)*30%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139.8" customFormat="1" customHeight="1" s="2" thickBot="1">
      <c r="A23" s="38" t="n"/>
      <c r="B23" s="97" t="inlineStr">
        <is>
          <t xml:space="preserve">備註：1.Sau khi ký kết hợp đồng: Thanh toán 30% giá trị hợp đồng(105.078.000  VND - Một Trăm Lẻ Năm Triệu Bảy Mươi Tám Nghìn đồng chẵn.)簽約完成時: 支付合約金額的 30% (越南盾  105,078,000  VND 壹億零伍佰零柒萬捌仟元整。)。
2.Sau khi lắp đặt sản phẩm: Thanh toán 60% giá trị hợp đồng(210.156.000  VND – Hai Trăm Mười Triệu Một Trăm Năm Mươi Sáu Nghìn đồng chẵn.)
物品安裝後: 支付合約金額的 60% (越南盾 210,156,000  貳億壹仟零壹拾伍萬陸仟元整。)
3,Khi nghiệm thu đạt tiêu chuẩn: Thanh toán 10% giá trị hợp đồng(35.026.000  VND – Ba Mươi Lăm Triệu Hai Mươi Sáu Nghìn đồng chẵn..)
驗收合格時: 支付合約金額的 10% (越南盾35,026,000  參仟伍佰零貳萬陸仟元整。)
**以上價格不包含VAT增值稅，稅率依發票開立時的稅率為準。Giá nêu trên chưa bao gồm thuế GTGT (VAT). Thuế suất áp dụng theo mức thuế suất tại thời điểm xuất hóa đơn.
</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11.xml><?xml version="1.0" encoding="utf-8"?>
<worksheet xmlns="http://schemas.openxmlformats.org/spreadsheetml/2006/main">
  <sheetPr>
    <tabColor theme="8" tint="-0.499984740745262"/>
    <outlinePr summaryBelow="1" summaryRight="1"/>
    <pageSetUpPr fitToPage="1"/>
  </sheetPr>
  <dimension ref="A2:N31"/>
  <sheetViews>
    <sheetView view="pageBreakPreview" topLeftCell="A4" zoomScale="70" zoomScaleNormal="85" zoomScaleSheetLayoutView="70" workbookViewId="0">
      <selection activeCell="C11" sqref="C11:I11"/>
    </sheetView>
  </sheetViews>
  <sheetFormatPr baseColWidth="8" defaultRowHeight="15.6"/>
  <cols>
    <col width="5.796875" bestFit="1" customWidth="1" style="82" min="1" max="1"/>
    <col width="30.3984375" customWidth="1" style="18" min="2" max="2"/>
    <col width="9" bestFit="1" customWidth="1" style="1" min="3" max="3"/>
    <col width="17.796875" bestFit="1" customWidth="1" style="82" min="4" max="4"/>
    <col width="11.19921875" bestFit="1" customWidth="1" style="1" min="5" max="5"/>
    <col width="19.59765625" customWidth="1" style="82" min="6" max="6"/>
    <col width="14.59765625" customWidth="1" style="82" min="7" max="7"/>
    <col width="17.296875" bestFit="1" customWidth="1" style="82" min="8" max="8"/>
    <col width="22.19921875" customWidth="1" style="82" min="9" max="9"/>
    <col width="9.59765625" bestFit="1" customWidth="1" style="82" min="10" max="10"/>
    <col width="19.3984375" bestFit="1" customWidth="1" style="82" min="14" max="14"/>
  </cols>
  <sheetData>
    <row r="2" ht="30.6" customHeight="1" s="82">
      <c r="B2" s="77" t="inlineStr">
        <is>
          <t>浤 詺 資 訊 責 任 有 限 公 司</t>
        </is>
      </c>
    </row>
    <row r="3" ht="21" customHeight="1" s="82">
      <c r="B3" s="78" t="inlineStr">
        <is>
          <t>CÔNG TY TNHH TOÀN CẦU HONG MING</t>
        </is>
      </c>
      <c r="K3" s="83" t="n"/>
    </row>
    <row r="4" ht="17.4" customHeight="1" s="82">
      <c r="B4" s="12" t="n"/>
      <c r="C4" s="10" t="n"/>
      <c r="D4" s="10" t="n"/>
      <c r="E4" s="10" t="n"/>
      <c r="F4" s="10" t="n"/>
      <c r="G4" s="10" t="n"/>
      <c r="H4" s="10" t="n"/>
      <c r="I4" s="10" t="n"/>
      <c r="K4" s="83" t="n"/>
    </row>
    <row r="5" ht="33" customHeight="1" s="82">
      <c r="B5" s="79" t="inlineStr">
        <is>
          <t>請 款 單</t>
        </is>
      </c>
      <c r="K5" s="83" t="n"/>
    </row>
    <row r="6" ht="22.8" customHeight="1" s="82">
      <c r="B6" s="81" t="inlineStr">
        <is>
          <t>Phiếu yêu cầu thanh toán</t>
        </is>
      </c>
      <c r="K6" s="83" t="n"/>
    </row>
    <row r="7" ht="22.8" customHeight="1" s="82">
      <c r="B7" s="13" t="n"/>
      <c r="C7" s="9" t="n"/>
      <c r="D7" s="9" t="n"/>
      <c r="E7" s="9" t="n"/>
      <c r="F7" s="9" t="n"/>
      <c r="G7" s="29" t="n"/>
      <c r="H7" s="70" t="n"/>
      <c r="K7" s="83" t="n"/>
    </row>
    <row r="8" ht="19.2" customHeight="1" s="82">
      <c r="B8" s="76" t="inlineStr">
        <is>
          <t>CÔNG TY TNHH TOÀN CẦU HONG MING 致敬：</t>
        </is>
      </c>
      <c r="K8" s="83" t="n"/>
    </row>
    <row r="9" ht="22.8" customHeight="1" s="82">
      <c r="B9" s="14" t="n"/>
      <c r="C9" s="9" t="n"/>
      <c r="D9" s="11" t="n"/>
      <c r="E9" s="9" t="n"/>
      <c r="F9" s="11" t="n"/>
      <c r="G9" s="29" t="inlineStr">
        <is>
          <t>Form NO.</t>
        </is>
      </c>
      <c r="H9" s="70" t="inlineStr">
        <is>
          <t>HMV060820260001-XTT</t>
        </is>
      </c>
      <c r="K9" s="83" t="n"/>
    </row>
    <row r="10" ht="33" customHeight="1" s="82">
      <c r="B10" s="28" t="inlineStr">
        <is>
          <t>客 戶 名 稱：
Tên khách hàng：</t>
        </is>
      </c>
      <c r="C10" s="71" t="inlineStr">
        <is>
          <t>CÔNG TY TRÁCH NHIỆM HỮU HẠN SEIYO VIỆT NAM</t>
        </is>
      </c>
      <c r="H10" s="28" t="inlineStr">
        <is>
          <t>申 請 日 期：
Ngày nộp đơn：</t>
        </is>
      </c>
      <c r="I10" s="46" t="n">
        <v>46239</v>
      </c>
      <c r="K10" s="83" t="n"/>
    </row>
    <row r="11" ht="98.40000000000001" customHeight="1" s="82">
      <c r="B11" s="75" t="inlineStr">
        <is>
          <t>專 案 名 稱：
Tên dự án：</t>
        </is>
      </c>
      <c r="C11" s="72" t="inlineStr">
        <is>
          <t xml:space="preserve">Căn cứ hợp đồng số : HMSY200720260001
Phương án nâng cấp trực quan hóa SMB "Tuyến sản xuất E, F"
根据合同编号：HMSY200720260001
SMB可視化升級方案「E、F產線」 </t>
        </is>
      </c>
      <c r="K11" s="83" t="n"/>
    </row>
    <row r="12" ht="41.4" customHeight="1" s="82">
      <c r="B12" s="75" t="inlineStr">
        <is>
          <t>應 付 款 日 期：
Ngày đến hạn thanh toán:</t>
        </is>
      </c>
      <c r="C12" s="73" t="inlineStr">
        <is>
          <t>15/08/2026</t>
        </is>
      </c>
      <c r="F12" s="75" t="inlineStr">
        <is>
          <t>付 款 方 式：
Phương thức thanh toán：</t>
        </is>
      </c>
      <c r="H12" s="76" t="inlineStr">
        <is>
          <t>匯款
Chuyển khoản</t>
        </is>
      </c>
      <c r="K12" s="83" t="n"/>
    </row>
    <row r="13" ht="16.2" customHeight="1" s="82" thickBot="1">
      <c r="N13" s="84" t="n"/>
    </row>
    <row r="14" ht="34.8" customHeight="1" s="82">
      <c r="A14" s="19" t="inlineStr">
        <is>
          <t>項
STT</t>
        </is>
      </c>
      <c r="B14" s="30" t="inlineStr">
        <is>
          <t>請款項目
Hạng mục thanh toán</t>
        </is>
      </c>
      <c r="C14" s="22" t="inlineStr">
        <is>
          <t>幣別
Tiền tệ</t>
        </is>
      </c>
      <c r="D14" s="22" t="inlineStr">
        <is>
          <t>單價 
Đơn giá</t>
        </is>
      </c>
      <c r="E14" s="22" t="inlineStr">
        <is>
          <t>數量 
Số lượng</t>
        </is>
      </c>
      <c r="F14" s="48" t="inlineStr">
        <is>
          <t>合同金額
Số tiền hợp đồng</t>
        </is>
      </c>
      <c r="G14" s="22" t="inlineStr">
        <is>
          <t>稅率
Thuế suất</t>
        </is>
      </c>
      <c r="H14" s="20" t="inlineStr">
        <is>
          <t>稅額 VAT</t>
        </is>
      </c>
      <c r="I14" s="49" t="inlineStr">
        <is>
          <t>請款金額
Số tiền xin TT</t>
        </is>
      </c>
    </row>
    <row r="15" ht="72.59999999999999" customHeight="1" s="82" thickBot="1">
      <c r="A15" s="21" t="n">
        <v>1</v>
      </c>
      <c r="B15" s="39" t="inlineStr">
        <is>
          <t>硬體簽約訂金 : 30%
合約：HMSY200720260001</t>
        </is>
      </c>
      <c r="C15" s="85" t="inlineStr">
        <is>
          <t>VND</t>
        </is>
      </c>
      <c r="D15" s="86" t="n">
        <v>277330000</v>
      </c>
      <c r="E15" s="87" t="inlineStr">
        <is>
          <t>1</t>
        </is>
      </c>
      <c r="F15" s="86">
        <f>D15*E15</f>
        <v/>
      </c>
      <c r="G15" s="32" t="n">
        <v>0.08</v>
      </c>
      <c r="H15" s="88">
        <f>F15*G15</f>
        <v/>
      </c>
      <c r="I15" s="89">
        <f>(F15+H15)*30%</f>
        <v/>
      </c>
      <c r="N15" s="90" t="n"/>
    </row>
    <row r="16" hidden="1" ht="75" customHeight="1" s="82">
      <c r="A16" s="21" t="n">
        <v>2</v>
      </c>
      <c r="B16" s="15" t="n"/>
      <c r="C16" s="85" t="n"/>
      <c r="D16" s="86" t="n"/>
      <c r="E16" s="91" t="n"/>
      <c r="F16" s="86">
        <f>D16*E16</f>
        <v/>
      </c>
      <c r="G16" s="32" t="n"/>
      <c r="H16" s="88">
        <f>F16*G16</f>
        <v/>
      </c>
      <c r="I16" s="89">
        <f>F16+H16</f>
        <v/>
      </c>
      <c r="N16" s="41" t="n"/>
    </row>
    <row r="17" hidden="1" ht="49.95" customHeight="1" s="82">
      <c r="A17" s="21" t="n">
        <v>3</v>
      </c>
      <c r="B17" s="15" t="n"/>
      <c r="C17" s="85" t="n"/>
      <c r="D17" s="86" t="n"/>
      <c r="E17" s="91" t="n"/>
      <c r="F17" s="86">
        <f>D17*E17</f>
        <v/>
      </c>
      <c r="G17" s="32" t="n"/>
      <c r="H17" s="88">
        <f>F17*G17</f>
        <v/>
      </c>
      <c r="I17" s="89">
        <f>F17+H17</f>
        <v/>
      </c>
    </row>
    <row r="18" hidden="1" ht="49.95" customHeight="1" s="82">
      <c r="A18" s="21" t="n">
        <v>4</v>
      </c>
      <c r="B18" s="15" t="n"/>
      <c r="C18" s="85" t="n"/>
      <c r="D18" s="86" t="n"/>
      <c r="E18" s="91" t="n"/>
      <c r="F18" s="86">
        <f>D18*E18</f>
        <v/>
      </c>
      <c r="G18" s="32" t="n"/>
      <c r="H18" s="88">
        <f>F18*G18</f>
        <v/>
      </c>
      <c r="I18" s="89">
        <f>F18+H18</f>
        <v/>
      </c>
    </row>
    <row r="19" hidden="1" ht="49.95" customHeight="1" s="82">
      <c r="A19" s="21" t="n">
        <v>5</v>
      </c>
      <c r="B19" s="15" t="n"/>
      <c r="C19" s="85" t="n"/>
      <c r="D19" s="86" t="n"/>
      <c r="E19" s="91" t="n"/>
      <c r="F19" s="86">
        <f>D19*E19</f>
        <v/>
      </c>
      <c r="G19" s="32" t="n"/>
      <c r="H19" s="88">
        <f>F19*G19</f>
        <v/>
      </c>
      <c r="I19" s="89">
        <f>F19+H19</f>
        <v/>
      </c>
    </row>
    <row r="20" hidden="1" ht="49.95" customHeight="1" s="82" thickBot="1">
      <c r="A20" s="21" t="n">
        <v>6</v>
      </c>
      <c r="B20" s="15" t="n"/>
      <c r="C20" s="85" t="n"/>
      <c r="D20" s="86" t="n"/>
      <c r="E20" s="91" t="n"/>
      <c r="F20" s="86">
        <f>D20*E20</f>
        <v/>
      </c>
      <c r="G20" s="32" t="n"/>
      <c r="H20" s="88">
        <f>F20*G20</f>
        <v/>
      </c>
      <c r="I20" s="89">
        <f>F20+H20</f>
        <v/>
      </c>
    </row>
    <row r="21" ht="24" customFormat="1" customHeight="1" s="2" thickBot="1">
      <c r="A21" s="53" t="inlineStr">
        <is>
          <t>合計 Tổng cộng</t>
        </is>
      </c>
      <c r="B21" s="92" t="n"/>
      <c r="C21" s="92" t="n"/>
      <c r="D21" s="92" t="n"/>
      <c r="E21" s="93" t="n"/>
      <c r="F21" s="94">
        <f>SUM(I15:I20)</f>
        <v/>
      </c>
      <c r="G21" s="92" t="n"/>
      <c r="H21" s="92" t="n"/>
      <c r="I21" s="95" t="n"/>
    </row>
    <row r="22" ht="16.2" customFormat="1" customHeight="1" s="2" thickBot="1">
      <c r="B22" s="17" t="n"/>
      <c r="C22" s="7" t="n"/>
      <c r="D22" s="6" t="n"/>
      <c r="E22" s="7" t="n"/>
      <c r="F22" s="6" t="n"/>
      <c r="G22" s="6" t="n"/>
      <c r="H22" s="96" t="n"/>
      <c r="I22" s="96" t="n"/>
    </row>
    <row r="23" ht="148.2" customFormat="1" customHeight="1" s="2" thickBot="1">
      <c r="A23" s="38" t="n"/>
      <c r="B23" s="97" t="inlineStr">
        <is>
          <t>備註：1.Sau khi ký kết hợp đồng: Thanh toán 30% giá trị hợp đồng(83,199,000 VND - Tám mươi ba triệu một trăm chín mươi chín nghìn đồng chẵn.)簽約完成時: 支付合約金額的 30% (越南盾 83,199,000 VND 捌仟參佰壹拾玖萬玖仟整。)
2.Sau khi lắp đặt sản phẩm: Thanh toán 60% giá trị hợp đồng(166,398,000 VND – Một trăm sáu mươi sáu triệu ba trăm chín mươi tám nghìn đồng chẵn.)
物品安裝後: 支付合約金額的 60% (越南盾 166,398,000 壹億陸仟陸佰參拾玖萬捌仟整。)
3.Khi nghiệm thu đạt tiêu chuẩn: Thanh toán 10% giá trị hợp đồng(27,733,000 VND – Hai mươi bảy triệu bảy trăm ba mươi ba nghìn đồng chẵn..)
驗收合格時: 支付合約金額的 10% (越南盾 27,733,000 貳仟柒佰柒拾參萬參仟整。)。
*** 以上價格不包含VAT增值稅，稅率依發票開立時的稅率為準。Giá nêu trên chưa bao gồm thuế GTGT (VAT). Thuế suất áp dụng theo mức thuế suất tại thời điểm xuất hóa đơn.</t>
        </is>
      </c>
      <c r="C23" s="92" t="n"/>
      <c r="D23" s="92" t="n"/>
      <c r="E23" s="92" t="n"/>
      <c r="F23" s="92" t="n"/>
      <c r="G23" s="92" t="n"/>
      <c r="H23" s="92" t="n"/>
      <c r="I23" s="95" t="n"/>
    </row>
    <row r="24" ht="18" customFormat="1" customHeight="1" s="2">
      <c r="A24" s="33" t="n"/>
      <c r="B24" s="98" t="inlineStr">
        <is>
          <t xml:space="preserve"> </t>
        </is>
      </c>
      <c r="C24" s="99" t="n"/>
      <c r="D24" s="99" t="n"/>
      <c r="E24" s="99" t="n"/>
      <c r="F24" s="99" t="n"/>
      <c r="G24" s="99" t="n"/>
      <c r="H24" s="99" t="n"/>
      <c r="I24" s="100" t="n"/>
    </row>
    <row r="25" ht="18" customFormat="1" customHeight="1" s="2">
      <c r="B25" s="36" t="inlineStr">
        <is>
          <t>銀行帳戶名稱</t>
        </is>
      </c>
      <c r="C25" s="101" t="inlineStr">
        <is>
          <t>CÔNG TY TNHH TOÀN CẦU HONG MING</t>
        </is>
      </c>
      <c r="D25" s="102" t="n"/>
      <c r="E25" s="102" t="n"/>
      <c r="F25" s="103" t="n"/>
      <c r="G25" s="34" t="inlineStr">
        <is>
          <t>銀行帳號</t>
        </is>
      </c>
      <c r="H25" s="104" t="inlineStr">
        <is>
          <t>604080006546(VND)</t>
        </is>
      </c>
      <c r="I25" s="105" t="n"/>
    </row>
    <row r="26" ht="18.6" customFormat="1" customHeight="1" s="2" thickBot="1">
      <c r="B26" s="37" t="inlineStr">
        <is>
          <t>銀行名稱</t>
        </is>
      </c>
      <c r="C26" s="106" t="inlineStr">
        <is>
          <t>CATHAY UNITED BANK – HO CHI MINH CITY BRANCH</t>
        </is>
      </c>
      <c r="D26" s="107" t="n"/>
      <c r="E26" s="107" t="n"/>
      <c r="F26" s="107" t="n"/>
      <c r="G26" s="107" t="n"/>
      <c r="H26" s="107" t="n"/>
      <c r="I26" s="108" t="n"/>
    </row>
    <row r="27" customFormat="1" s="2">
      <c r="B27" s="16" t="n"/>
      <c r="C27" s="4" t="n"/>
      <c r="E27" s="4" t="n"/>
    </row>
    <row r="28" ht="18" customFormat="1" customHeight="1" s="2">
      <c r="B28" s="42" t="inlineStr">
        <is>
          <t>買方主管</t>
        </is>
      </c>
      <c r="C28" s="43" t="n"/>
      <c r="D28" s="44" t="n"/>
      <c r="E28" s="43" t="n"/>
      <c r="F28" s="45" t="inlineStr">
        <is>
          <t>申請單位</t>
        </is>
      </c>
    </row>
    <row r="29" customFormat="1" s="2">
      <c r="B29" s="16" t="n"/>
      <c r="C29" s="4" t="n"/>
      <c r="E29" s="4" t="n"/>
    </row>
    <row r="30" customFormat="1" s="2">
      <c r="B30" s="16" t="n"/>
      <c r="C30" s="4" t="n"/>
      <c r="E30" s="4" t="n"/>
    </row>
    <row r="31" customFormat="1" s="2">
      <c r="B31" s="16" t="n"/>
      <c r="C31" s="4" t="n"/>
      <c r="E31" s="4" t="n"/>
    </row>
  </sheetData>
  <mergeCells count="19">
    <mergeCell ref="B3:I3"/>
    <mergeCell ref="C12:E12"/>
    <mergeCell ref="H9:I9"/>
    <mergeCell ref="H25:I25"/>
    <mergeCell ref="F12:G12"/>
    <mergeCell ref="C10:G10"/>
    <mergeCell ref="B2:I2"/>
    <mergeCell ref="B23:I23"/>
    <mergeCell ref="B8:I8"/>
    <mergeCell ref="A21:E21"/>
    <mergeCell ref="C26:I26"/>
    <mergeCell ref="H7:I7"/>
    <mergeCell ref="F21:I21"/>
    <mergeCell ref="C25:F25"/>
    <mergeCell ref="H12:I12"/>
    <mergeCell ref="B6:I6"/>
    <mergeCell ref="B24:I24"/>
    <mergeCell ref="B5:I5"/>
    <mergeCell ref="C11:I11"/>
  </mergeCells>
  <printOptions horizontalCentered="1"/>
  <pageMargins left="0.3937007874015748" right="0.3937007874015748" top="0.3937007874015748" bottom="0.3937007874015748" header="0.3149606299212598" footer="0.3149606299212598"/>
  <pageSetup orientation="portrait" paperSize="9" scale="59"/>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E8" sqref="E8"/>
    </sheetView>
  </sheetViews>
  <sheetFormatPr baseColWidth="8" defaultRowHeight="15.6"/>
  <cols>
    <col width="18.296875" customWidth="1" style="1" min="1" max="1"/>
  </cols>
  <sheetData>
    <row r="1">
      <c r="A1" s="1" t="inlineStr">
        <is>
          <t>付款方式</t>
        </is>
      </c>
    </row>
    <row r="2" ht="31.2" customHeight="1" s="82">
      <c r="A2" s="35" t="inlineStr">
        <is>
          <t>現金
Tiền mặt</t>
        </is>
      </c>
    </row>
    <row r="3" ht="31.2" customHeight="1" s="82">
      <c r="A3" s="35" t="inlineStr">
        <is>
          <t>匯款
Chuyển khoản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Jenson</dc:creator>
  <dcterms:created xmlns:dcterms="http://purl.org/dc/terms/" xmlns:xsi="http://www.w3.org/2001/XMLSchema-instance" xsi:type="dcterms:W3CDTF">2022-03-01T06:40:34Z</dcterms:created>
  <dcterms:modified xmlns:dcterms="http://purl.org/dc/terms/" xmlns:xsi="http://www.w3.org/2001/XMLSchema-instance" xsi:type="dcterms:W3CDTF">2026-10-21T08:52:13Z</dcterms:modified>
  <cp:lastModifiedBy>bang nguyen</cp:lastModifiedBy>
  <cp:lastPrinted>2026-10-15T02:31:21Z</cp:lastPrinted>
</cp:coreProperties>
</file>