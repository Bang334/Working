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8" yWindow="-48" windowWidth="23136" windowHeight="12336" tabRatio="600" firstSheet="0" activeTab="0" autoFilterDateGrouping="1"/>
  </bookViews>
  <sheets>
    <sheet xmlns:r="http://schemas.openxmlformats.org/officeDocument/2006/relationships" name="PouHui" sheetId="1" state="visible" r:id="rId1"/>
  </sheets>
  <definedNames>
    <definedName name="_xlnm.Print_Area" localSheetId="0">'PouHui'!$A$1:$H$28</definedName>
  </definedNames>
  <calcPr calcId="191029" fullCalcOnLoad="1"/>
</workbook>
</file>

<file path=xl/styles.xml><?xml version="1.0" encoding="utf-8"?>
<styleSheet xmlns="http://schemas.openxmlformats.org/spreadsheetml/2006/main">
  <numFmts count="14">
    <numFmt numFmtId="164" formatCode="_-&quot;$&quot;* #,##0_-;\-&quot;$&quot;* #,##0_-;_-&quot;$&quot;* &quot;-&quot;??_-;_-@_-"/>
    <numFmt numFmtId="165" formatCode="_-&quot;$&quot;* #,##0.00_-;\-&quot;$&quot;* #,##0.00_-;_-&quot;$&quot;* &quot;-&quot;??_-;_-@_-"/>
    <numFmt numFmtId="166" formatCode="_(&quot;$&quot;* #,##0_);_(&quot;$&quot;* \(#,##0\);_(&quot;$&quot;* &quot;-&quot;??_);_(@_)"/>
    <numFmt numFmtId="167" formatCode="[$VND]\ #,##0_);\([$VND]\ #,##0\)"/>
    <numFmt numFmtId="168" formatCode="&quot;US$&quot;#,##0.0_);\(&quot;US$&quot;#,##0.0\)"/>
    <numFmt numFmtId="169" formatCode="_(\$* #,##0_);_(\$* \(#,##0\);_(\$* \-??_);_(@_)"/>
    <numFmt numFmtId="170" formatCode="0&quot; BỘ &quot;"/>
    <numFmt numFmtId="171" formatCode="0&quot; CÁI &quot;"/>
    <numFmt numFmtId="172" formatCode="_(&quot;$&quot;* #,##0.00_);_(&quot;$&quot;* \(#,##0.00\);_(&quot;$&quot;* &quot;-&quot;??_);_(@_)"/>
    <numFmt numFmtId="173" formatCode="0\ &quot;Bộ&quot;"/>
    <numFmt numFmtId="174" formatCode="&quot;US$&quot;#,##0.00_);\(&quot;US$&quot;#,##0.00\)"/>
    <numFmt numFmtId="175" formatCode="&quot;Exchange Rate USD&quot;\ #,#00"/>
    <numFmt numFmtId="176" formatCode="0&quot; SET &quot;"/>
    <numFmt numFmtId="177" formatCode="0.0%"/>
  </numFmts>
  <fonts count="80">
    <font>
      <name val="新細明體"/>
      <charset val="136"/>
      <sz val="12"/>
    </font>
    <font>
      <name val="微軟正黑體"/>
      <charset val="136"/>
      <family val="2"/>
      <sz val="12"/>
    </font>
    <font>
      <name val="微軟正黑體"/>
      <charset val="136"/>
      <family val="2"/>
      <b val="1"/>
      <sz val="12"/>
    </font>
    <font>
      <name val="新細明體"/>
      <charset val="136"/>
      <family val="1"/>
      <color theme="1"/>
      <sz val="12"/>
      <scheme val="minor"/>
    </font>
    <font>
      <name val="新細明體"/>
      <charset val="136"/>
      <family val="1"/>
      <color indexed="12"/>
      <sz val="12"/>
      <u val="single"/>
    </font>
    <font>
      <name val="新細明體"/>
      <charset val="136"/>
      <family val="1"/>
      <color rgb="FF9C6500"/>
      <sz val="11"/>
      <scheme val="minor"/>
    </font>
    <font>
      <name val="新細明體"/>
      <charset val="136"/>
      <family val="1"/>
      <sz val="12"/>
    </font>
    <font>
      <name val="新細明體"/>
      <charset val="136"/>
      <family val="1"/>
      <sz val="9"/>
    </font>
    <font>
      <name val="Arial"/>
      <family val="2"/>
      <sz val="12"/>
    </font>
    <font>
      <name val="Arial"/>
      <family val="2"/>
      <sz val="10"/>
    </font>
    <font>
      <name val="Arial"/>
      <family val="2"/>
      <color rgb="FF9C6500"/>
      <sz val="11"/>
    </font>
    <font>
      <name val="微軟正黑體"/>
      <charset val="136"/>
      <family val="2"/>
      <sz val="10"/>
    </font>
    <font>
      <name val="Arial"/>
      <family val="2"/>
      <sz val="11"/>
    </font>
    <font>
      <name val="細明體"/>
      <charset val="136"/>
      <family val="3"/>
      <sz val="9"/>
    </font>
    <font>
      <name val="微軟正黑體"/>
      <charset val="136"/>
      <family val="2"/>
      <sz val="12"/>
    </font>
    <font>
      <name val="微軟正黑體"/>
      <charset val="136"/>
      <family val="2"/>
      <b val="1"/>
      <color indexed="8"/>
      <sz val="12"/>
    </font>
    <font>
      <name val="微軟正黑體"/>
      <charset val="136"/>
      <family val="2"/>
      <b val="1"/>
      <sz val="12"/>
    </font>
    <font>
      <name val="細明體"/>
      <charset val="136"/>
      <family val="3"/>
      <sz val="12"/>
    </font>
    <font>
      <name val="Arial"/>
      <family val="2"/>
      <color rgb="FF9C6500"/>
      <sz val="10"/>
    </font>
    <font>
      <name val="Arial"/>
      <family val="2"/>
      <b val="1"/>
      <color theme="1"/>
      <sz val="11"/>
    </font>
    <font>
      <name val="微軟正黑體"/>
      <charset val="136"/>
      <family val="2"/>
      <b val="1"/>
      <color theme="0"/>
      <sz val="16"/>
    </font>
    <font>
      <name val="微軟正黑體"/>
      <charset val="136"/>
      <family val="2"/>
      <color indexed="12"/>
      <sz val="12"/>
      <u val="single"/>
    </font>
    <font>
      <name val="Calibri"/>
      <charset val="163"/>
      <family val="2"/>
      <b val="1"/>
      <color rgb="FF000000"/>
      <sz val="12"/>
    </font>
    <font>
      <name val="Calibri"/>
      <charset val="163"/>
      <family val="2"/>
      <b val="1"/>
      <sz val="12"/>
    </font>
    <font>
      <name val="Segoe UI"/>
      <charset val="238"/>
      <family val="2"/>
      <b val="1"/>
      <sz val="12"/>
    </font>
    <font>
      <name val="Calibri"/>
      <family val="2"/>
      <b val="1"/>
      <sz val="12"/>
    </font>
    <font>
      <name val="微軟正黑體"/>
      <charset val="238"/>
      <family val="2"/>
      <b val="1"/>
      <sz val="12"/>
    </font>
    <font>
      <name val="微軟正黑體"/>
      <charset val="136"/>
      <family val="2"/>
      <b val="1"/>
      <color rgb="FF000000"/>
      <sz val="12"/>
    </font>
    <font>
      <name val="微軟正黑體"/>
      <charset val="136"/>
      <family val="2"/>
      <b val="1"/>
      <color theme="1"/>
      <sz val="12"/>
    </font>
    <font>
      <name val="Calibri"/>
      <charset val="163"/>
      <family val="2"/>
      <b val="1"/>
      <color theme="1"/>
      <sz val="12"/>
    </font>
    <font>
      <name val="微軟正黑體"/>
      <charset val="136"/>
      <family val="2"/>
      <color rgb="FF0000FF"/>
      <sz val="12"/>
    </font>
    <font>
      <name val="Calibri"/>
      <charset val="163"/>
      <family val="2"/>
      <sz val="12"/>
    </font>
    <font>
      <name val="Segoe UI"/>
      <charset val="238"/>
      <family val="2"/>
      <sz val="12"/>
    </font>
    <font>
      <name val="微軟正黑體"/>
      <charset val="136"/>
      <family val="2"/>
      <b val="1"/>
      <color theme="0"/>
      <sz val="14"/>
    </font>
    <font>
      <name val="Segoe UI"/>
      <charset val="238"/>
      <family val="2"/>
      <b val="1"/>
      <color theme="0"/>
      <sz val="14"/>
    </font>
    <font>
      <name val="Calibri"/>
      <charset val="163"/>
      <family val="2"/>
      <b val="1"/>
      <color theme="0"/>
      <sz val="14"/>
    </font>
    <font>
      <name val="Calibri"/>
      <charset val="163"/>
      <family val="2"/>
      <b val="1"/>
      <color theme="0"/>
      <sz val="16"/>
    </font>
    <font>
      <name val="新細明體"/>
      <family val="1"/>
      <sz val="9"/>
    </font>
    <font>
      <name val="VNI-Times"/>
      <family val="2"/>
      <sz val="12"/>
    </font>
    <font>
      <name val="微軟正黑體"/>
      <charset val="136"/>
      <family val="2"/>
      <b val="1"/>
      <color theme="1"/>
      <sz val="14"/>
    </font>
    <font>
      <name val="Calibri"/>
      <charset val="163"/>
      <family val="2"/>
      <b val="1"/>
      <color theme="1"/>
      <sz val="14"/>
    </font>
    <font>
      <name val="Arial"/>
      <family val="2"/>
      <b val="1"/>
      <color rgb="FF0000FF"/>
      <sz val="14"/>
    </font>
    <font>
      <name val="Calibri"/>
      <charset val="163"/>
      <family val="2"/>
      <color rgb="FF0000FF"/>
      <sz val="12"/>
      <u val="single"/>
    </font>
    <font>
      <name val="新細明體"/>
      <charset val="136"/>
      <family val="1"/>
      <sz val="12"/>
    </font>
    <font>
      <name val="Noto Sans CJK SC"/>
      <charset val="1"/>
      <family val="2"/>
      <b val="1"/>
      <color theme="1"/>
      <sz val="12"/>
    </font>
    <font>
      <name val="Segoe UI"/>
      <charset val="238"/>
      <family val="2"/>
      <b val="1"/>
      <color theme="1"/>
      <sz val="14"/>
    </font>
    <font>
      <name val="Microsoft JhengHei"/>
      <charset val="136"/>
      <family val="2"/>
      <color theme="1"/>
      <sz val="12"/>
    </font>
    <font>
      <name val="Microsoft JhengHei"/>
      <charset val="136"/>
      <family val="2"/>
      <color theme="1"/>
      <sz val="11"/>
    </font>
    <font>
      <name val="Calibri"/>
      <family val="2"/>
      <color theme="1"/>
      <sz val="12"/>
    </font>
    <font>
      <name val="微軟正黑體"/>
      <charset val="136"/>
      <family val="2"/>
      <color theme="1"/>
      <sz val="12"/>
    </font>
    <font>
      <name val="細明體"/>
      <charset val="136"/>
      <family val="2"/>
      <sz val="12"/>
    </font>
    <font>
      <name val="Segoe UI"/>
      <charset val="238"/>
      <family val="2"/>
      <color rgb="FF0000FF"/>
      <sz val="12"/>
    </font>
    <font>
      <name val="Calibri"/>
      <charset val="163"/>
      <family val="2"/>
      <color rgb="FF0000FF"/>
      <sz val="12"/>
    </font>
    <font>
      <name val="Microsoft YaHei"/>
      <charset val="134"/>
      <family val="2"/>
      <b val="1"/>
      <color theme="1"/>
      <sz val="11"/>
    </font>
    <font>
      <name val="Microsoft YaHei"/>
      <charset val="134"/>
      <family val="2"/>
      <b val="1"/>
      <color theme="1"/>
      <sz val="12"/>
    </font>
    <font>
      <name val="Microsoft YaHei"/>
      <family val="2"/>
      <b val="1"/>
      <color theme="1"/>
      <sz val="12"/>
    </font>
    <font>
      <name val="Microsoft YaHei"/>
      <charset val="134"/>
      <family val="2"/>
      <b val="1"/>
      <color rgb="FF0000FF"/>
      <sz val="11"/>
    </font>
    <font>
      <name val="Microsoft YaHei"/>
      <charset val="134"/>
      <family val="2"/>
      <b val="1"/>
      <color rgb="FFFF0000"/>
      <sz val="11"/>
    </font>
    <font>
      <name val="Arial"/>
      <charset val="136"/>
      <family val="2"/>
      <b val="1"/>
      <color rgb="FF9C6500"/>
      <sz val="12"/>
    </font>
    <font>
      <name val="微軟正黑體"/>
      <charset val="136"/>
      <family val="2"/>
      <b val="1"/>
      <color indexed="60"/>
      <sz val="12"/>
    </font>
    <font>
      <name val="Arial"/>
      <family val="2"/>
      <b val="1"/>
      <color rgb="FF993300"/>
      <sz val="12"/>
    </font>
    <font>
      <name val="Calibri"/>
      <charset val="163"/>
      <family val="2"/>
      <b val="1"/>
      <color rgb="FF993300"/>
      <sz val="12"/>
    </font>
    <font>
      <name val="Arial"/>
      <charset val="136"/>
      <family val="2"/>
      <b val="1"/>
      <color rgb="FF9C6500"/>
      <sz val="11"/>
    </font>
    <font>
      <name val="微軟正黑體"/>
      <charset val="136"/>
      <family val="2"/>
      <b val="1"/>
      <color rgb="FF9C6500"/>
      <sz val="11"/>
    </font>
    <font>
      <name val="Arial"/>
      <family val="2"/>
      <b val="1"/>
      <color rgb="FF9C6500"/>
      <sz val="11"/>
    </font>
    <font>
      <name val="Calibri"/>
      <charset val="163"/>
      <family val="2"/>
      <b val="1"/>
      <color rgb="FF9C6500"/>
      <sz val="11"/>
    </font>
    <font>
      <name val="微軟正黑體"/>
      <charset val="136"/>
      <family val="2"/>
      <color rgb="FFFF0000"/>
      <sz val="12"/>
    </font>
    <font>
      <name val="Calibri"/>
      <charset val="163"/>
      <family val="2"/>
      <color theme="1"/>
      <sz val="12"/>
    </font>
    <font>
      <name val="Calibri"/>
      <family val="2"/>
      <b val="1"/>
      <color rgb="FFFF0000"/>
      <sz val="11"/>
    </font>
    <font>
      <name val="微軟正黑體"/>
      <charset val="136"/>
      <family val="2"/>
      <b val="1"/>
      <color rgb="FFFF0000"/>
      <sz val="11"/>
    </font>
    <font>
      <name val="Microsoft YaHei"/>
      <charset val="136"/>
      <family val="2"/>
      <b val="1"/>
      <color rgb="FFFF0000"/>
      <sz val="11"/>
    </font>
    <font>
      <name val="微軟正黑體"/>
      <color rgb="00000000"/>
      <sz val="12"/>
    </font>
    <font>
      <name val="微軟正黑體"/>
      <color rgb="00000000"/>
      <sz val="10"/>
    </font>
    <font>
      <name val="Microsoft YaHei"/>
      <b val="1"/>
      <color rgb="00000000"/>
      <sz val="12"/>
    </font>
    <font>
      <name val="Arial"/>
      <b val="1"/>
      <color rgb="000000FF"/>
      <sz val="13"/>
    </font>
    <font>
      <name val="Arial"/>
      <b val="1"/>
      <color rgb="009C6500"/>
      <sz val="12"/>
    </font>
    <font>
      <name val="Microsoft YaHei"/>
      <b val="1"/>
      <color rgb="00000000"/>
      <sz val="11"/>
    </font>
    <font>
      <name val="Arial"/>
      <b val="1"/>
      <color rgb="009C6500"/>
      <sz val="11"/>
    </font>
    <font>
      <name val="Microsoft YaHei"/>
      <b val="1"/>
      <color rgb="00000000"/>
      <sz val="10.5"/>
    </font>
    <font>
      <name val="Microsoft YaHei"/>
      <b val="1"/>
      <color rgb="00FF0000"/>
      <sz val="10.5"/>
    </font>
  </fonts>
  <fills count="11">
    <fill>
      <patternFill/>
    </fill>
    <fill>
      <patternFill patternType="gray125"/>
    </fill>
    <fill>
      <patternFill patternType="solid">
        <fgColor rgb="FFFFEB9C"/>
        <bgColor indexed="64"/>
      </patternFill>
    </fill>
    <fill>
      <patternFill patternType="solid">
        <fgColor theme="0"/>
        <bgColor indexed="64"/>
      </patternFill>
    </fill>
    <fill>
      <patternFill patternType="solid">
        <fgColor theme="6" tint="0.7999816888943144"/>
        <bgColor indexed="64"/>
      </patternFill>
    </fill>
    <fill>
      <patternFill patternType="solid">
        <fgColor rgb="FF00B050"/>
        <bgColor indexed="64"/>
      </patternFill>
    </fill>
    <fill>
      <patternFill patternType="solid">
        <fgColor theme="4" tint="-0.249977111117893"/>
        <bgColor indexed="64"/>
      </patternFill>
    </fill>
    <fill>
      <patternFill patternType="solid">
        <fgColor theme="9" tint="-0.249977111117893"/>
        <bgColor indexed="64"/>
      </patternFill>
    </fill>
    <fill>
      <patternFill patternType="solid">
        <fgColor theme="6" tint="0.5999938962981048"/>
        <bgColor indexed="64"/>
      </patternFill>
    </fill>
    <fill>
      <patternFill patternType="solid">
        <fgColor theme="0" tint="-0.1499984740745262"/>
        <bgColor indexed="64"/>
      </patternFill>
    </fill>
    <fill>
      <patternFill patternType="solid">
        <fgColor theme="0"/>
        <bgColor rgb="FFF2F2F2"/>
      </patternFill>
    </fill>
  </fills>
  <borders count="79">
    <border>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bottom style="medium">
        <color auto="1"/>
      </bottom>
      <diagonal/>
    </border>
    <border>
      <left/>
      <right/>
      <top/>
      <bottom style="medium">
        <color auto="1"/>
      </bottom>
      <diagonal/>
    </border>
    <border>
      <left style="medium">
        <color auto="1"/>
      </left>
      <right/>
      <top/>
      <bottom/>
      <diagonal/>
    </border>
    <border>
      <left/>
      <right style="medium">
        <color auto="1"/>
      </right>
      <top/>
      <bottom/>
      <diagonal/>
    </border>
    <border>
      <left/>
      <right style="medium">
        <color auto="1"/>
      </right>
      <top/>
      <bottom style="medium">
        <color auto="1"/>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auto="1"/>
      </right>
      <top style="medium">
        <color indexed="64"/>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diagonal/>
    </border>
    <border>
      <left style="thin">
        <color auto="1"/>
      </left>
      <right style="medium">
        <color auto="1"/>
      </right>
      <top/>
      <bottom style="thin">
        <color auto="1"/>
      </bottom>
      <diagonal/>
    </border>
    <border>
      <left style="thin">
        <color auto="1"/>
      </left>
      <right style="medium">
        <color auto="1"/>
      </right>
      <top style="thin">
        <color auto="1"/>
      </top>
      <bottom/>
      <diagonal/>
    </border>
    <border>
      <left style="thin">
        <color auto="1"/>
      </left>
      <right style="thin">
        <color auto="1"/>
      </right>
      <top/>
      <bottom style="thin">
        <color auto="1"/>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auto="1"/>
      </right>
      <top style="medium">
        <color indexed="64"/>
      </top>
      <bottom/>
      <diagonal/>
    </border>
    <border>
      <left/>
      <right style="thin">
        <color auto="1"/>
      </right>
      <top/>
      <bottom/>
      <diagonal/>
    </border>
    <border>
      <left/>
      <right style="medium">
        <color indexed="64"/>
      </right>
      <top style="medium">
        <color indexed="64"/>
      </top>
      <bottom/>
      <diagonal/>
    </border>
    <border>
      <left style="thin">
        <color auto="1"/>
      </left>
      <right style="medium">
        <color auto="1"/>
      </right>
      <top/>
      <bottom/>
      <diagonal/>
    </border>
    <border>
      <left style="medium">
        <color auto="1"/>
      </left>
      <right style="medium">
        <color auto="1"/>
      </right>
      <top/>
      <bottom style="medium">
        <color auto="1"/>
      </bottom>
      <diagonal/>
    </border>
    <border>
      <left/>
      <right/>
      <top/>
      <bottom style="medium">
        <color indexed="64"/>
      </bottom>
      <diagonal/>
    </border>
    <border>
      <left/>
      <right style="thin">
        <color auto="1"/>
      </right>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diagonal/>
    </border>
    <border>
      <left style="medium">
        <color indexed="64"/>
      </left>
      <right style="thin">
        <color auto="1"/>
      </right>
      <top style="medium">
        <color indexed="64"/>
      </top>
      <bottom/>
      <diagonal/>
    </border>
    <border>
      <left style="medium">
        <color indexed="64"/>
      </left>
      <right/>
      <top/>
      <bottom/>
      <diagonal/>
    </border>
    <border>
      <left style="medium">
        <color rgb="00000000"/>
      </left>
      <top style="thin">
        <color rgb="00000000"/>
      </top>
      <bottom style="medium">
        <color rgb="00000000"/>
      </bottom>
    </border>
    <border>
      <top style="thin">
        <color rgb="00000000"/>
      </top>
      <bottom style="medium">
        <color rgb="00000000"/>
      </bottom>
    </border>
    <border>
      <right style="medium">
        <color rgb="00000000"/>
      </right>
      <top style="thin">
        <color rgb="00000000"/>
      </top>
      <bottom style="medium">
        <color rgb="00000000"/>
      </bottom>
    </border>
    <border>
      <left style="medium">
        <color rgb="00000000"/>
      </left>
      <right style="medium">
        <color rgb="00000000"/>
      </right>
      <top style="thin">
        <color rgb="00000000"/>
      </top>
      <bottom style="medium">
        <color rgb="00000000"/>
      </bottom>
    </border>
    <border>
      <left/>
      <right/>
      <top style="thin">
        <color rgb="00000000"/>
      </top>
      <bottom/>
      <diagonal/>
    </border>
    <border>
      <left/>
      <right style="medium">
        <color rgb="00000000"/>
      </right>
      <top style="thin">
        <color rgb="00000000"/>
      </top>
      <bottom/>
      <diagonal/>
    </border>
    <border>
      <left/>
      <right/>
      <top style="thin">
        <color rgb="00000000"/>
      </top>
      <bottom style="medium">
        <color rgb="00000000"/>
      </bottom>
      <diagonal/>
    </border>
    <border>
      <left/>
      <right style="medium">
        <color rgb="00000000"/>
      </right>
      <top style="thin">
        <color rgb="00000000"/>
      </top>
      <bottom style="medium">
        <color rgb="00000000"/>
      </bottom>
      <diagonal/>
    </border>
    <border>
      <left style="thin"/>
      <right style="thin"/>
      <top style="thin"/>
      <bottom style="thin"/>
    </border>
    <border>
      <left style="thin"/>
      <right style="medium"/>
      <top style="thin"/>
      <bottom style="thin"/>
    </border>
    <border>
      <left style="thin"/>
      <right style="thin"/>
      <top style="thin"/>
      <bottom style="medium"/>
    </border>
    <border>
      <left style="thin"/>
      <right style="medium"/>
      <top style="thin"/>
      <bottom style="medium"/>
    </border>
    <border>
      <left style="medium"/>
    </border>
    <border/>
    <border>
      <left style="medium"/>
      <bottom style="medium"/>
    </border>
    <border>
      <bottom style="medium"/>
    </border>
    <border>
      <left style="medium"/>
      <right/>
      <top/>
      <bottom/>
      <diagonal/>
    </border>
    <border>
      <left style="medium"/>
      <right/>
      <top/>
      <bottom style="medium"/>
      <diagonal/>
    </border>
    <border>
      <left/>
      <right/>
      <top/>
      <bottom style="medium"/>
      <diagonal/>
    </border>
    <border>
      <left style="medium"/>
      <top style="medium"/>
    </border>
    <border>
      <top style="medium"/>
    </border>
    <border>
      <right style="thin"/>
      <top style="medium"/>
    </border>
    <border>
      <left style="medium"/>
      <right style="thin"/>
      <top style="medium"/>
    </border>
    <border>
      <left/>
      <right/>
      <top style="medium"/>
      <bottom/>
      <diagonal/>
    </border>
    <border>
      <left/>
      <right style="thin"/>
      <top style="medium"/>
      <bottom/>
      <diagonal/>
    </border>
    <border>
      <left style="thin"/>
      <top style="medium"/>
    </border>
    <border>
      <right style="medium"/>
      <top style="medium"/>
    </border>
    <border>
      <left style="thin"/>
      <right style="medium"/>
      <top style="medium"/>
    </border>
    <border>
      <left/>
      <right style="medium"/>
      <top style="medium"/>
      <bottom/>
      <diagonal/>
    </border>
    <border>
      <right style="thin"/>
    </border>
    <border>
      <left style="thin"/>
    </border>
    <border>
      <right style="medium"/>
    </border>
    <border>
      <right style="thin"/>
      <bottom style="medium"/>
    </border>
    <border>
      <left style="thin"/>
      <bottom style="medium"/>
    </border>
    <border>
      <right style="medium"/>
      <bottom style="medium"/>
    </border>
    <border>
      <left style="medium"/>
      <right style="thin"/>
      <bottom style="medium"/>
    </border>
    <border>
      <left/>
      <right style="thin"/>
      <top/>
      <bottom/>
      <diagonal/>
    </border>
    <border>
      <left/>
      <right style="thin"/>
      <top/>
      <bottom style="medium"/>
      <diagonal/>
    </border>
    <border>
      <left style="thin"/>
      <right style="medium"/>
    </border>
    <border>
      <left/>
      <right style="medium"/>
      <top/>
      <bottom/>
      <diagonal/>
    </border>
    <border>
      <left style="thin"/>
      <right style="medium"/>
      <bottom style="medium"/>
    </border>
    <border>
      <left/>
      <right style="medium"/>
      <top/>
      <bottom style="medium"/>
      <diagonal/>
    </border>
  </borders>
  <cellStyleXfs count="9">
    <xf numFmtId="0" fontId="0" fillId="0" borderId="0"/>
    <xf numFmtId="0" fontId="4" fillId="0" borderId="0" applyAlignment="1" applyProtection="1">
      <alignment vertical="top"/>
      <protection locked="0" hidden="0"/>
    </xf>
    <xf numFmtId="44" fontId="3" fillId="0" borderId="0" applyAlignment="1">
      <alignment vertical="center"/>
    </xf>
    <xf numFmtId="0" fontId="43" fillId="0" borderId="0"/>
    <xf numFmtId="0" fontId="5" fillId="2" borderId="0" applyAlignment="1">
      <alignment vertical="center"/>
    </xf>
    <xf numFmtId="41" fontId="17" fillId="0" borderId="0"/>
    <xf numFmtId="0" fontId="38" fillId="0" borderId="0"/>
    <xf numFmtId="0" fontId="9" fillId="0" borderId="0"/>
    <xf numFmtId="9" fontId="43" fillId="0" borderId="0" applyAlignment="1">
      <alignment vertical="center"/>
    </xf>
  </cellStyleXfs>
  <cellXfs count="161">
    <xf numFmtId="0" fontId="0" fillId="0" borderId="0" pivotButton="0" quotePrefix="0" xfId="0"/>
    <xf numFmtId="0" fontId="8" fillId="0" borderId="0" applyAlignment="1" pivotButton="0" quotePrefix="0" xfId="0">
      <alignment vertical="center"/>
    </xf>
    <xf numFmtId="0" fontId="9" fillId="0" borderId="0" applyAlignment="1" pivotButton="0" quotePrefix="0" xfId="0">
      <alignment horizontal="left" vertical="center"/>
    </xf>
    <xf numFmtId="0" fontId="9" fillId="0" borderId="0" applyAlignment="1" pivotButton="0" quotePrefix="0" xfId="0">
      <alignment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3">
      <alignment vertical="center"/>
    </xf>
    <xf numFmtId="0" fontId="14" fillId="0" borderId="0" applyAlignment="1" pivotButton="0" quotePrefix="0" xfId="0">
      <alignment horizontal="left" vertical="center"/>
    </xf>
    <xf numFmtId="0" fontId="14" fillId="0" borderId="0" applyAlignment="1" pivotButton="0" quotePrefix="0" xfId="0">
      <alignment vertical="center"/>
    </xf>
    <xf numFmtId="0" fontId="14" fillId="0" borderId="0" applyAlignment="1" pivotButton="0" quotePrefix="0" xfId="0">
      <alignment horizontal="center" vertical="center"/>
    </xf>
    <xf numFmtId="164" fontId="8" fillId="0" borderId="0" applyAlignment="1" pivotButton="0" quotePrefix="0" xfId="0">
      <alignment vertical="center"/>
    </xf>
    <xf numFmtId="165" fontId="8" fillId="0" borderId="0" applyAlignment="1" pivotButton="0" quotePrefix="0" xfId="0">
      <alignment vertical="center"/>
    </xf>
    <xf numFmtId="165" fontId="8" fillId="0" borderId="0" applyAlignment="1" pivotButton="0" quotePrefix="0" xfId="3">
      <alignment vertical="center"/>
    </xf>
    <xf numFmtId="166" fontId="8" fillId="0" borderId="0" applyAlignment="1" pivotButton="0" quotePrefix="0" xfId="2">
      <alignment vertical="center"/>
    </xf>
    <xf numFmtId="0" fontId="2" fillId="0" borderId="0" applyAlignment="1" pivotButton="0" quotePrefix="0" xfId="0">
      <alignment horizontal="left" vertical="center"/>
    </xf>
    <xf numFmtId="0" fontId="26" fillId="0" borderId="0" applyAlignment="1" pivotButton="0" quotePrefix="0" xfId="0">
      <alignment horizontal="left" vertical="center"/>
    </xf>
    <xf numFmtId="0" fontId="1" fillId="0" borderId="0" applyAlignment="1" pivotButton="0" quotePrefix="0" xfId="0">
      <alignment vertical="center"/>
    </xf>
    <xf numFmtId="49" fontId="1" fillId="0" borderId="0" applyAlignment="1" pivotButton="0" quotePrefix="0" xfId="0">
      <alignment vertical="center"/>
    </xf>
    <xf numFmtId="0" fontId="1" fillId="0" borderId="0" applyAlignment="1" pivotButton="0" quotePrefix="0" xfId="0">
      <alignment vertical="center" wrapText="1"/>
    </xf>
    <xf numFmtId="0" fontId="1" fillId="3" borderId="4" applyAlignment="1" pivotButton="0" quotePrefix="0" xfId="3">
      <alignment horizontal="center" vertical="center"/>
    </xf>
    <xf numFmtId="0" fontId="1" fillId="3" borderId="1" applyAlignment="1" pivotButton="0" quotePrefix="0" xfId="3">
      <alignment horizontal="center" vertical="center"/>
    </xf>
    <xf numFmtId="1" fontId="8" fillId="0" borderId="0" applyAlignment="1" pivotButton="0" quotePrefix="0" xfId="0">
      <alignment vertical="center"/>
    </xf>
    <xf numFmtId="167" fontId="8" fillId="0" borderId="0" applyAlignment="1" pivotButton="0" quotePrefix="0" xfId="0">
      <alignment vertical="center"/>
    </xf>
    <xf numFmtId="0" fontId="12" fillId="4" borderId="8" applyAlignment="1" pivotButton="0" quotePrefix="0" xfId="4">
      <alignment horizontal="center" vertical="center"/>
    </xf>
    <xf numFmtId="0" fontId="10" fillId="4" borderId="0" applyAlignment="1" pivotButton="0" quotePrefix="0" xfId="4">
      <alignment horizontal="left" vertical="center"/>
    </xf>
    <xf numFmtId="0" fontId="10" fillId="4" borderId="9" applyAlignment="1" pivotButton="0" quotePrefix="0" xfId="4">
      <alignment vertical="center"/>
    </xf>
    <xf numFmtId="0" fontId="12" fillId="4" borderId="6" applyAlignment="1" pivotButton="0" quotePrefix="0" xfId="4">
      <alignment horizontal="center" vertical="center"/>
    </xf>
    <xf numFmtId="0" fontId="10" fillId="4" borderId="7" applyAlignment="1" pivotButton="0" quotePrefix="0" xfId="4">
      <alignment horizontal="left" vertical="center"/>
    </xf>
    <xf numFmtId="0" fontId="10" fillId="4" borderId="10" applyAlignment="1" pivotButton="0" quotePrefix="0" xfId="4">
      <alignment vertical="center"/>
    </xf>
    <xf numFmtId="0" fontId="16" fillId="8" borderId="14" applyAlignment="1" pivotButton="0" quotePrefix="0" xfId="0">
      <alignment horizontal="center" vertical="center" wrapText="1"/>
    </xf>
    <xf numFmtId="0" fontId="15" fillId="8" borderId="15" applyAlignment="1" pivotButton="0" quotePrefix="0" xfId="0">
      <alignment horizontal="center" vertical="center" wrapText="1"/>
    </xf>
    <xf numFmtId="0" fontId="16" fillId="8" borderId="15" applyAlignment="1" pivotButton="0" quotePrefix="0" xfId="0">
      <alignment horizontal="center" vertical="center" wrapText="1"/>
    </xf>
    <xf numFmtId="0" fontId="26" fillId="8" borderId="15" applyAlignment="1" pivotButton="0" quotePrefix="0" xfId="0">
      <alignment horizontal="center" vertical="center" wrapText="1"/>
    </xf>
    <xf numFmtId="0" fontId="28" fillId="8" borderId="15" applyAlignment="1" pivotButton="0" quotePrefix="0" xfId="0">
      <alignment horizontal="center" vertical="center" wrapText="1"/>
    </xf>
    <xf numFmtId="0" fontId="28" fillId="8" borderId="16" applyAlignment="1" pivotButton="0" quotePrefix="0" xfId="0">
      <alignment horizontal="center" vertical="center" wrapText="1"/>
    </xf>
    <xf numFmtId="0" fontId="39" fillId="9" borderId="11" applyAlignment="1" pivotButton="0" quotePrefix="0" xfId="3">
      <alignment vertical="center"/>
    </xf>
    <xf numFmtId="0" fontId="39" fillId="9" borderId="12" applyAlignment="1" pivotButton="0" quotePrefix="0" xfId="3">
      <alignment vertical="center"/>
    </xf>
    <xf numFmtId="167" fontId="39" fillId="9" borderId="12" applyAlignment="1" pivotButton="0" quotePrefix="0" xfId="3">
      <alignment vertical="center"/>
    </xf>
    <xf numFmtId="168" fontId="1" fillId="3" borderId="2" applyAlignment="1" pivotButton="0" quotePrefix="0" xfId="2">
      <alignment vertical="center"/>
    </xf>
    <xf numFmtId="168" fontId="1" fillId="3" borderId="5" applyAlignment="1" pivotButton="0" quotePrefix="0" xfId="2">
      <alignment vertical="center"/>
    </xf>
    <xf numFmtId="167" fontId="1" fillId="0" borderId="3" applyAlignment="1" pivotButton="0" quotePrefix="0" xfId="2">
      <alignment vertical="center"/>
    </xf>
    <xf numFmtId="0" fontId="42" fillId="0" borderId="0" applyAlignment="1" pivotButton="0" quotePrefix="0" xfId="1">
      <alignment vertical="center"/>
    </xf>
    <xf numFmtId="168" fontId="8" fillId="0" borderId="0" applyAlignment="1" pivotButton="0" quotePrefix="0" xfId="3">
      <alignment vertical="center"/>
    </xf>
    <xf numFmtId="0" fontId="44" fillId="0" borderId="8" applyAlignment="1" pivotButton="0" quotePrefix="0" xfId="0">
      <alignment horizontal="left" vertical="center"/>
    </xf>
    <xf numFmtId="169" fontId="46" fillId="10" borderId="5" applyAlignment="1" pivotButton="0" quotePrefix="0" xfId="0">
      <alignment horizontal="left" vertical="center" wrapText="1"/>
    </xf>
    <xf numFmtId="0" fontId="46" fillId="10" borderId="2" applyAlignment="1" pivotButton="0" quotePrefix="0" xfId="0">
      <alignment horizontal="left" vertical="center" wrapText="1"/>
    </xf>
    <xf numFmtId="0" fontId="46" fillId="10" borderId="5" applyAlignment="1" pivotButton="0" quotePrefix="0" xfId="0">
      <alignment horizontal="left" vertical="center" wrapText="1"/>
    </xf>
    <xf numFmtId="170" fontId="47" fillId="10" borderId="5" applyAlignment="1" pivotButton="0" quotePrefix="0" xfId="0">
      <alignment horizontal="center" vertical="center"/>
    </xf>
    <xf numFmtId="171" fontId="47" fillId="10" borderId="5" applyAlignment="1" pivotButton="0" quotePrefix="0" xfId="0">
      <alignment horizontal="center" vertical="center"/>
    </xf>
    <xf numFmtId="167" fontId="1" fillId="0" borderId="19" applyAlignment="1" pivotButton="0" quotePrefix="0" xfId="2">
      <alignment vertical="center"/>
    </xf>
    <xf numFmtId="169" fontId="46" fillId="10" borderId="2" applyAlignment="1" pivotButton="0" quotePrefix="0" xfId="0">
      <alignment horizontal="left" vertical="center" wrapText="1"/>
    </xf>
    <xf numFmtId="170" fontId="47" fillId="10" borderId="2" applyAlignment="1" pivotButton="0" quotePrefix="0" xfId="0">
      <alignment horizontal="center" vertical="center"/>
    </xf>
    <xf numFmtId="167" fontId="41" fillId="0" borderId="18" applyAlignment="1" pivotButton="0" quotePrefix="0" xfId="2">
      <alignment vertical="center"/>
    </xf>
    <xf numFmtId="168" fontId="1" fillId="0" borderId="2" applyAlignment="1" pivotButton="0" quotePrefix="0" xfId="2">
      <alignment vertical="center"/>
    </xf>
    <xf numFmtId="9" fontId="8" fillId="0" borderId="0" applyAlignment="1" pivotButton="0" quotePrefix="0" xfId="8">
      <alignment vertical="center"/>
    </xf>
    <xf numFmtId="165" fontId="50" fillId="0" borderId="0" applyAlignment="1" pivotButton="0" quotePrefix="0" xfId="3">
      <alignment horizontal="center" vertical="center"/>
    </xf>
    <xf numFmtId="0" fontId="1" fillId="0" borderId="0" applyAlignment="1" pivotButton="0" quotePrefix="0" xfId="3">
      <alignment horizontal="center" vertical="center"/>
    </xf>
    <xf numFmtId="0" fontId="50" fillId="0" borderId="0" applyAlignment="1" pivotButton="0" quotePrefix="0" xfId="3">
      <alignment horizontal="center" vertical="center"/>
    </xf>
    <xf numFmtId="165" fontId="8" fillId="0" borderId="0" applyAlignment="1" pivotButton="0" quotePrefix="0" xfId="3">
      <alignment horizontal="right" vertical="center"/>
    </xf>
    <xf numFmtId="9" fontId="8" fillId="0" borderId="0" applyAlignment="1" pivotButton="0" quotePrefix="0" xfId="8">
      <alignment horizontal="right" vertical="center"/>
    </xf>
    <xf numFmtId="172" fontId="8" fillId="0" borderId="0" applyAlignment="1" pivotButton="0" quotePrefix="0" xfId="3">
      <alignment horizontal="right" vertical="center"/>
    </xf>
    <xf numFmtId="166" fontId="30" fillId="3" borderId="2" applyAlignment="1" pivotButton="0" quotePrefix="0" xfId="0">
      <alignment horizontal="left" vertical="center" wrapText="1"/>
    </xf>
    <xf numFmtId="0" fontId="30" fillId="3" borderId="2" applyAlignment="1" pivotButton="0" quotePrefix="0" xfId="0">
      <alignment horizontal="left" vertical="center" wrapText="1"/>
    </xf>
    <xf numFmtId="49" fontId="30" fillId="3" borderId="2" applyAlignment="1" pivotButton="0" quotePrefix="0" xfId="0">
      <alignment horizontal="left" vertical="center" wrapText="1"/>
    </xf>
    <xf numFmtId="173" fontId="30" fillId="3" borderId="2" applyAlignment="1" pivotButton="0" quotePrefix="0" xfId="5">
      <alignment horizontal="center" vertical="center"/>
    </xf>
    <xf numFmtId="168" fontId="30" fillId="3" borderId="2" applyAlignment="1" pivotButton="0" quotePrefix="0" xfId="2">
      <alignment vertical="center"/>
    </xf>
    <xf numFmtId="0" fontId="54" fillId="4" borderId="20" applyAlignment="1" pivotButton="0" quotePrefix="0" xfId="0">
      <alignment horizontal="center" vertical="center"/>
    </xf>
    <xf numFmtId="174" fontId="41" fillId="0" borderId="20" applyAlignment="1" pivotButton="0" quotePrefix="0" xfId="0">
      <alignment vertical="center"/>
    </xf>
    <xf numFmtId="0" fontId="10" fillId="4" borderId="25" applyAlignment="1" pivotButton="0" quotePrefix="0" xfId="4">
      <alignment horizontal="left" vertical="center"/>
    </xf>
    <xf numFmtId="0" fontId="18" fillId="4" borderId="28" applyAlignment="1" pivotButton="0" quotePrefix="0" xfId="4">
      <alignment horizontal="left" vertical="center" wrapText="1"/>
    </xf>
    <xf numFmtId="0" fontId="54" fillId="4" borderId="17" applyAlignment="1" pivotButton="0" quotePrefix="0" xfId="0">
      <alignment horizontal="center" vertical="center"/>
    </xf>
    <xf numFmtId="174" fontId="41" fillId="0" borderId="17" applyAlignment="1" pivotButton="0" quotePrefix="0" xfId="0">
      <alignment vertical="center"/>
    </xf>
    <xf numFmtId="167" fontId="41" fillId="0" borderId="29" applyAlignment="1" pivotButton="0" quotePrefix="0" xfId="2">
      <alignment vertical="center"/>
    </xf>
    <xf numFmtId="0" fontId="50" fillId="0" borderId="0" applyAlignment="1" pivotButton="0" quotePrefix="0" xfId="0">
      <alignment vertical="center"/>
    </xf>
    <xf numFmtId="174" fontId="8" fillId="0" borderId="0" applyAlignment="1" pivotButton="0" quotePrefix="0" xfId="0">
      <alignment vertical="center"/>
    </xf>
    <xf numFmtId="0" fontId="58" fillId="4" borderId="24" applyAlignment="1" pivotButton="0" quotePrefix="0" xfId="4">
      <alignment horizontal="left" vertical="center"/>
    </xf>
    <xf numFmtId="0" fontId="53" fillId="4" borderId="24" applyAlignment="1" pivotButton="0" quotePrefix="0" xfId="4">
      <alignment horizontal="left" vertical="center"/>
    </xf>
    <xf numFmtId="0" fontId="53" fillId="4" borderId="25" applyAlignment="1" pivotButton="0" quotePrefix="0" xfId="4">
      <alignment horizontal="left" vertical="center"/>
    </xf>
    <xf numFmtId="0" fontId="53" fillId="4" borderId="28" applyAlignment="1" pivotButton="0" quotePrefix="0" xfId="4">
      <alignment horizontal="left" vertical="center"/>
    </xf>
    <xf numFmtId="0" fontId="62" fillId="4" borderId="8" applyAlignment="1" pivotButton="0" quotePrefix="0" xfId="4">
      <alignment horizontal="left" vertical="top"/>
    </xf>
    <xf numFmtId="0" fontId="64" fillId="4" borderId="0" applyAlignment="1" pivotButton="0" quotePrefix="0" xfId="4">
      <alignment horizontal="left" vertical="top"/>
    </xf>
    <xf numFmtId="0" fontId="64" fillId="4" borderId="9" applyAlignment="1" pivotButton="0" quotePrefix="0" xfId="4">
      <alignment horizontal="left" vertical="top"/>
    </xf>
    <xf numFmtId="0" fontId="53" fillId="4" borderId="8" applyAlignment="1" pivotButton="0" quotePrefix="0" xfId="4">
      <alignment horizontal="left" vertical="center" wrapText="1"/>
    </xf>
    <xf numFmtId="0" fontId="53" fillId="4" borderId="0" applyAlignment="1" pivotButton="0" quotePrefix="0" xfId="4">
      <alignment horizontal="left" vertical="center" wrapText="1"/>
    </xf>
    <xf numFmtId="0" fontId="53" fillId="4" borderId="9" applyAlignment="1" pivotButton="0" quotePrefix="0" xfId="4">
      <alignment horizontal="left" vertical="center" wrapText="1"/>
    </xf>
    <xf numFmtId="0" fontId="57" fillId="4" borderId="7" applyAlignment="1" pivotButton="0" quotePrefix="0" xfId="4">
      <alignment horizontal="left" vertical="center" wrapText="1"/>
    </xf>
    <xf numFmtId="0" fontId="57" fillId="4" borderId="10" applyAlignment="1" pivotButton="0" quotePrefix="0" xfId="4">
      <alignment horizontal="left" vertical="center" wrapText="1"/>
    </xf>
    <xf numFmtId="0" fontId="1" fillId="0" borderId="0" applyAlignment="1" pivotButton="0" quotePrefix="0" xfId="0">
      <alignment horizontal="left" vertical="center" wrapText="1"/>
    </xf>
    <xf numFmtId="0" fontId="1" fillId="0" borderId="0" applyAlignment="1" pivotButton="0" quotePrefix="0" xfId="0">
      <alignment horizontal="left" vertical="center"/>
    </xf>
    <xf numFmtId="0" fontId="8" fillId="0" borderId="0" applyAlignment="1" pivotButton="0" quotePrefix="0" xfId="0">
      <alignment horizontal="center" vertical="center"/>
    </xf>
    <xf numFmtId="0" fontId="20" fillId="5" borderId="8" applyAlignment="1" pivotButton="0" quotePrefix="0" xfId="4">
      <alignment horizontal="center" vertical="center"/>
    </xf>
    <xf numFmtId="0" fontId="20" fillId="5" borderId="0" applyAlignment="1" pivotButton="0" quotePrefix="0" xfId="4">
      <alignment horizontal="center" vertical="center"/>
    </xf>
    <xf numFmtId="0" fontId="11" fillId="0" borderId="21" applyAlignment="1" pivotButton="0" quotePrefix="0" xfId="0">
      <alignment horizontal="center" vertical="center" wrapText="1"/>
    </xf>
    <xf numFmtId="0" fontId="11" fillId="0" borderId="22" applyAlignment="1" pivotButton="0" quotePrefix="0" xfId="0">
      <alignment horizontal="center" vertical="center" wrapText="1"/>
    </xf>
    <xf numFmtId="0" fontId="11" fillId="0" borderId="23" applyAlignment="1" pivotButton="0" quotePrefix="0" xfId="0">
      <alignment horizontal="center" vertical="center" wrapText="1"/>
    </xf>
    <xf numFmtId="0" fontId="30" fillId="0" borderId="24" applyAlignment="1" pivotButton="0" quotePrefix="0" xfId="0">
      <alignment horizontal="center" vertical="center" wrapText="1"/>
    </xf>
    <xf numFmtId="0" fontId="30" fillId="0" borderId="25" applyAlignment="1" pivotButton="0" quotePrefix="0" xfId="0">
      <alignment horizontal="center" vertical="center" wrapText="1"/>
    </xf>
    <xf numFmtId="0" fontId="30" fillId="0" borderId="26" applyAlignment="1" pivotButton="0" quotePrefix="0" xfId="0">
      <alignment horizontal="center" vertical="center" wrapText="1"/>
    </xf>
    <xf numFmtId="0" fontId="30" fillId="0" borderId="8" applyAlignment="1" pivotButton="0" quotePrefix="0" xfId="0">
      <alignment horizontal="center" vertical="center" wrapText="1"/>
    </xf>
    <xf numFmtId="0" fontId="30" fillId="0" borderId="0" applyAlignment="1" pivotButton="0" quotePrefix="0" xfId="0">
      <alignment horizontal="center" vertical="center" wrapText="1"/>
    </xf>
    <xf numFmtId="0" fontId="30" fillId="0" borderId="27" applyAlignment="1" pivotButton="0" quotePrefix="0" xfId="0">
      <alignment horizontal="center" vertical="center" wrapText="1"/>
    </xf>
    <xf numFmtId="0" fontId="33" fillId="6" borderId="0" applyAlignment="1" pivotButton="0" quotePrefix="0" xfId="4">
      <alignment horizontal="center" vertical="center" wrapText="1"/>
    </xf>
    <xf numFmtId="0" fontId="33" fillId="7" borderId="0" applyAlignment="1" pivotButton="0" quotePrefix="0" xfId="4">
      <alignment horizontal="center" vertical="center" wrapText="1"/>
    </xf>
    <xf numFmtId="0" fontId="31" fillId="0" borderId="0" applyAlignment="1" pivotButton="0" quotePrefix="0" xfId="0">
      <alignment horizontal="left" vertical="center"/>
    </xf>
    <xf numFmtId="0" fontId="21" fillId="0" borderId="0" applyAlignment="1" pivotButton="0" quotePrefix="0" xfId="1">
      <alignment horizontal="left"/>
    </xf>
    <xf numFmtId="0" fontId="70" fillId="4" borderId="6" applyAlignment="1" pivotButton="0" quotePrefix="0" xfId="4">
      <alignment horizontal="left" vertical="center" wrapText="1"/>
    </xf>
    <xf numFmtId="175" fontId="39" fillId="9" borderId="13" applyAlignment="1" pivotButton="0" quotePrefix="0" xfId="3">
      <alignment vertical="center"/>
    </xf>
    <xf numFmtId="167" fontId="39" fillId="9" borderId="12" applyAlignment="1" pivotButton="0" quotePrefix="0" xfId="3">
      <alignment vertical="center"/>
    </xf>
    <xf numFmtId="175" fontId="39" fillId="9" borderId="13" applyAlignment="1" pivotButton="0" quotePrefix="0" xfId="3">
      <alignment vertical="center"/>
    </xf>
    <xf numFmtId="165" fontId="50" fillId="0" borderId="0" applyAlignment="1" pivotButton="0" quotePrefix="0" xfId="3">
      <alignment horizontal="center" vertical="center"/>
    </xf>
    <xf numFmtId="0" fontId="71" fillId="3" borderId="1" applyAlignment="1" pivotButton="0" quotePrefix="0" xfId="3">
      <alignment horizontal="center" vertical="center"/>
    </xf>
    <xf numFmtId="169" fontId="71" fillId="10" borderId="5" applyAlignment="1" pivotButton="0" quotePrefix="0" xfId="0">
      <alignment horizontal="left" vertical="center" wrapText="1"/>
    </xf>
    <xf numFmtId="0" fontId="71" fillId="10" borderId="2" applyAlignment="1" pivotButton="0" quotePrefix="0" xfId="0">
      <alignment horizontal="left" vertical="center" wrapText="1"/>
    </xf>
    <xf numFmtId="0" fontId="71" fillId="10" borderId="5" applyAlignment="1" pivotButton="0" quotePrefix="0" xfId="0">
      <alignment horizontal="left" vertical="center" wrapText="1"/>
    </xf>
    <xf numFmtId="170" fontId="71" fillId="10" borderId="5" applyAlignment="1" pivotButton="0" quotePrefix="0" xfId="0">
      <alignment horizontal="center" vertical="center"/>
    </xf>
    <xf numFmtId="168" fontId="71" fillId="3" borderId="2" applyAlignment="1" pivotButton="0" quotePrefix="0" xfId="2">
      <alignment horizontal="right" vertical="center"/>
    </xf>
    <xf numFmtId="168" fontId="71" fillId="0" borderId="2" applyAlignment="1" pivotButton="0" quotePrefix="0" xfId="2">
      <alignment horizontal="right" vertical="center"/>
    </xf>
    <xf numFmtId="167" fontId="71" fillId="0" borderId="3" applyAlignment="1" pivotButton="0" quotePrefix="0" xfId="2">
      <alignment horizontal="right" vertical="center"/>
    </xf>
    <xf numFmtId="165" fontId="8" fillId="0" borderId="0" applyAlignment="1" pivotButton="0" quotePrefix="0" xfId="3">
      <alignment horizontal="right" vertical="center"/>
    </xf>
    <xf numFmtId="172" fontId="8" fillId="0" borderId="0" applyAlignment="1" pivotButton="0" quotePrefix="0" xfId="3">
      <alignment horizontal="right" vertical="center"/>
    </xf>
    <xf numFmtId="168" fontId="8" fillId="0" borderId="0" applyAlignment="1" pivotButton="0" quotePrefix="0" xfId="3">
      <alignment vertical="center"/>
    </xf>
    <xf numFmtId="170" fontId="71" fillId="10" borderId="5" applyAlignment="1" pivotButton="0" quotePrefix="0" xfId="5">
      <alignment horizontal="center" vertical="center"/>
    </xf>
    <xf numFmtId="165" fontId="8" fillId="0" borderId="0" applyAlignment="1" pivotButton="0" quotePrefix="0" xfId="3">
      <alignment vertical="center"/>
    </xf>
    <xf numFmtId="176" fontId="71" fillId="10" borderId="5" applyAlignment="1" pivotButton="0" quotePrefix="0" xfId="5">
      <alignment horizontal="center" vertical="center"/>
    </xf>
    <xf numFmtId="0" fontId="71" fillId="3" borderId="1" applyAlignment="1" pivotButton="0" quotePrefix="0" xfId="0">
      <alignment horizontal="center" vertical="center"/>
    </xf>
    <xf numFmtId="176" fontId="71" fillId="10" borderId="5" applyAlignment="1" pivotButton="0" quotePrefix="0" xfId="0">
      <alignment horizontal="center" vertical="center"/>
    </xf>
    <xf numFmtId="168" fontId="71" fillId="3" borderId="2" applyAlignment="1" pivotButton="0" quotePrefix="0" xfId="0">
      <alignment horizontal="right" vertical="center"/>
    </xf>
    <xf numFmtId="168" fontId="71" fillId="0" borderId="2" applyAlignment="1" pivotButton="0" quotePrefix="0" xfId="0">
      <alignment horizontal="right" vertical="center"/>
    </xf>
    <xf numFmtId="167" fontId="71" fillId="0" borderId="3" applyAlignment="1" pivotButton="0" quotePrefix="0" xfId="0">
      <alignment horizontal="right" vertical="center"/>
    </xf>
    <xf numFmtId="174" fontId="8" fillId="0" borderId="0" applyAlignment="1" pivotButton="0" quotePrefix="0" xfId="0">
      <alignment vertical="center"/>
    </xf>
    <xf numFmtId="0" fontId="72" fillId="0" borderId="40" applyAlignment="1" pivotButton="0" quotePrefix="0" xfId="0">
      <alignment horizontal="center" vertical="center"/>
    </xf>
    <xf numFmtId="0" fontId="0" fillId="0" borderId="43" pivotButton="0" quotePrefix="0" xfId="0"/>
    <xf numFmtId="0" fontId="0" fillId="0" borderId="44" pivotButton="0" quotePrefix="0" xfId="0"/>
    <xf numFmtId="0" fontId="0" fillId="0" borderId="51" pivotButton="0" quotePrefix="0" xfId="0"/>
    <xf numFmtId="0" fontId="73" fillId="0" borderId="45" applyAlignment="1" pivotButton="0" quotePrefix="0" xfId="0">
      <alignment horizontal="center" vertical="center"/>
    </xf>
    <xf numFmtId="174" fontId="74" fillId="0" borderId="45" applyAlignment="1" pivotButton="0" quotePrefix="0" xfId="0">
      <alignment horizontal="right" vertical="center"/>
    </xf>
    <xf numFmtId="167" fontId="74" fillId="0" borderId="46" applyAlignment="1" pivotButton="0" quotePrefix="0" xfId="2">
      <alignment horizontal="right" vertical="center"/>
    </xf>
    <xf numFmtId="0" fontId="0" fillId="0" borderId="53" pivotButton="0" quotePrefix="0" xfId="0"/>
    <xf numFmtId="0" fontId="0" fillId="0" borderId="54" pivotButton="0" quotePrefix="0" xfId="0"/>
    <xf numFmtId="0" fontId="0" fillId="0" borderId="55" pivotButton="0" quotePrefix="0" xfId="0"/>
    <xf numFmtId="0" fontId="73" fillId="0" borderId="47" applyAlignment="1" pivotButton="0" quotePrefix="0" xfId="0">
      <alignment horizontal="center" vertical="center"/>
    </xf>
    <xf numFmtId="174" fontId="74" fillId="0" borderId="47" applyAlignment="1" pivotButton="0" quotePrefix="0" xfId="0">
      <alignment horizontal="right" vertical="center"/>
    </xf>
    <xf numFmtId="167" fontId="74" fillId="0" borderId="48" applyAlignment="1" pivotButton="0" quotePrefix="0" xfId="0">
      <alignment horizontal="right" vertical="center"/>
    </xf>
    <xf numFmtId="177" fontId="0" fillId="0" borderId="0" pivotButton="0" quotePrefix="0" xfId="0"/>
    <xf numFmtId="0" fontId="75" fillId="0" borderId="59" applyAlignment="1" pivotButton="0" quotePrefix="0" xfId="4">
      <alignment horizontal="left" vertical="center"/>
    </xf>
    <xf numFmtId="0" fontId="0" fillId="0" borderId="60" pivotButton="0" quotePrefix="0" xfId="0"/>
    <xf numFmtId="0" fontId="0" fillId="0" borderId="61" pivotButton="0" quotePrefix="0" xfId="0"/>
    <xf numFmtId="0" fontId="76" fillId="0" borderId="64" applyAlignment="1" pivotButton="0" quotePrefix="0" xfId="4">
      <alignment horizontal="left" vertical="center"/>
    </xf>
    <xf numFmtId="0" fontId="0" fillId="0" borderId="65" pivotButton="0" quotePrefix="0" xfId="0"/>
    <xf numFmtId="0" fontId="77" fillId="0" borderId="72" applyAlignment="1" pivotButton="0" quotePrefix="0" xfId="4">
      <alignment horizontal="left" vertical="top"/>
    </xf>
    <xf numFmtId="0" fontId="0" fillId="0" borderId="73" pivotButton="0" quotePrefix="0" xfId="0"/>
    <xf numFmtId="0" fontId="78" fillId="0" borderId="75" applyAlignment="1" pivotButton="0" quotePrefix="0" xfId="4">
      <alignment horizontal="left" vertical="center" wrapText="1"/>
    </xf>
    <xf numFmtId="0" fontId="0" fillId="0" borderId="76" pivotButton="0" quotePrefix="0" xfId="0"/>
    <xf numFmtId="0" fontId="70" fillId="0" borderId="75" applyAlignment="1" pivotButton="0" quotePrefix="0" xfId="4">
      <alignment horizontal="left" vertical="center" wrapText="1"/>
    </xf>
    <xf numFmtId="0" fontId="0" fillId="0" borderId="74" pivotButton="0" quotePrefix="0" xfId="0"/>
    <xf numFmtId="0" fontId="79" fillId="0" borderId="77" applyAlignment="1" pivotButton="0" quotePrefix="0" xfId="0">
      <alignment horizontal="left" vertical="center" wrapText="1"/>
    </xf>
    <xf numFmtId="0" fontId="0" fillId="0" borderId="78" pivotButton="0" quotePrefix="0" xfId="0"/>
    <xf numFmtId="165" fontId="8" fillId="0" borderId="0" applyAlignment="1" pivotButton="0" quotePrefix="0" xfId="0">
      <alignment vertical="center"/>
    </xf>
    <xf numFmtId="164" fontId="8" fillId="0" borderId="0" applyAlignment="1" pivotButton="0" quotePrefix="0" xfId="0">
      <alignment vertical="center"/>
    </xf>
    <xf numFmtId="167" fontId="8" fillId="0" borderId="0" applyAlignment="1" pivotButton="0" quotePrefix="0" xfId="0">
      <alignment vertical="center"/>
    </xf>
    <xf numFmtId="166" fontId="8" fillId="0" borderId="0" applyAlignment="1" pivotButton="0" quotePrefix="0" xfId="2">
      <alignment vertical="center"/>
    </xf>
  </cellXfs>
  <cellStyles count="9">
    <cellStyle name="一般" xfId="0" builtinId="0"/>
    <cellStyle name="超連結" xfId="1" builtinId="8"/>
    <cellStyle name="貨幣" xfId="2" builtinId="4"/>
    <cellStyle name="一般 2" xfId="3"/>
    <cellStyle name="中等" xfId="4" builtinId="28"/>
    <cellStyle name="千分位[0] 2" xfId="5"/>
    <cellStyle name="Normal 3 2" xfId="6"/>
    <cellStyle name="Normal 3" xfId="7"/>
    <cellStyle name="百分比" xfId="8" builtinId="5"/>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0</col>
      <colOff>1</colOff>
      <row>1</row>
      <rowOff>43542</rowOff>
    </from>
    <to>
      <col>2</col>
      <colOff>21772</colOff>
      <row>6</row>
      <rowOff>23887</rowOff>
    </to>
    <grpSp>
      <nvGrpSpPr>
        <cNvPr id="2" name="群組 1"/>
        <cNvGrpSpPr/>
      </nvGrpSpPr>
      <grpSpPr>
        <a:xfrm xmlns:a="http://schemas.openxmlformats.org/drawingml/2006/main" rot="0">
          <a:off x="1" y="272142"/>
          <a:ext cx="2676071" cy="1351945"/>
          <a:chOff x="64189" y="336331"/>
          <a:chExt cx="2106197" cy="1066801"/>
        </a:xfrm>
      </grpSpPr>
      <pic>
        <nvPicPr>
          <cNvPr id="4" name="圖片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4189" y="945931"/>
            <a:ext cx="2106197" cy="457201"/>
          </a:xfrm>
          <a:prstGeom xmlns:a="http://schemas.openxmlformats.org/drawingml/2006/main" prst="rect">
            <avLst/>
          </a:prstGeom>
          <a:ln xmlns:a="http://schemas.openxmlformats.org/drawingml/2006/main">
            <a:prstDash val="solid"/>
          </a:ln>
        </spPr>
      </pic>
    </grpSp>
    <clientData/>
  </twoCellAnchor>
</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theme="8" tint="-0.499984740745262"/>
    <outlinePr summaryBelow="1" summaryRight="1"/>
    <pageSetUpPr fitToPage="1"/>
  </sheetPr>
  <dimension ref="A1:S44"/>
  <sheetViews>
    <sheetView tabSelected="1" view="pageBreakPreview" topLeftCell="A11" zoomScale="60" zoomScaleNormal="52" workbookViewId="0">
      <selection activeCell="H13" sqref="H13"/>
    </sheetView>
  </sheetViews>
  <sheetFormatPr baseColWidth="8" defaultColWidth="9" defaultRowHeight="15"/>
  <cols>
    <col width="5.33" customWidth="1" style="1" min="1" max="1"/>
    <col width="33.33" customWidth="1" style="5" min="2" max="2"/>
    <col width="30.44" customWidth="1" style="1" min="3" max="3"/>
    <col width="52.78" customWidth="1" style="1" min="4" max="4"/>
    <col width="27.33" customWidth="1" style="1" min="5" max="5"/>
    <col width="24.55" bestFit="1" customWidth="1" style="1" min="6" max="6"/>
    <col width="25.33" bestFit="1" customWidth="1" style="1" min="7" max="7"/>
    <col width="39.22" bestFit="1" customWidth="1" style="1" min="8" max="8"/>
    <col width="9" customWidth="1" style="1" min="9" max="9"/>
    <col width="21.6640625" bestFit="1" customWidth="1" style="1" min="10" max="10"/>
    <col width="21.6640625" customWidth="1" style="1" min="11" max="11"/>
    <col width="17" bestFit="1" customWidth="1" style="1" min="12" max="12"/>
    <col width="10.6640625" bestFit="1" customWidth="1" style="1" min="13" max="13"/>
    <col width="16" bestFit="1" customWidth="1" style="1" min="14" max="14"/>
    <col width="18.44140625" bestFit="1" customWidth="1" style="1" min="15" max="15"/>
    <col width="9" customWidth="1" style="1" min="16" max="16"/>
    <col width="20.44140625" bestFit="1" customWidth="1" style="1" min="17" max="17"/>
    <col width="9" customWidth="1" style="1" min="18" max="16384"/>
  </cols>
  <sheetData>
    <row r="1" ht="18" customHeight="1">
      <c r="B1" s="2" t="n"/>
      <c r="C1" s="101" t="inlineStr">
        <is>
          <t>Thông tin người bán 賣方資訊</t>
        </is>
      </c>
      <c r="E1" s="102" t="inlineStr">
        <is>
          <t>Thông tin người mua 買方資訊</t>
        </is>
      </c>
    </row>
    <row r="2" ht="19.2" customHeight="1">
      <c r="A2" s="3" t="n"/>
      <c r="B2" s="2" t="n"/>
      <c r="C2" s="14" t="inlineStr">
        <is>
          <t>Tên công ty 公司名稱：</t>
        </is>
      </c>
      <c r="D2" s="16" t="inlineStr">
        <is>
          <t>CÔNG TY TNHH ECO PRIME VN</t>
        </is>
      </c>
      <c r="E2" s="14" t="inlineStr">
        <is>
          <t>Tên công ty 公司名稱：</t>
        </is>
      </c>
      <c r="F2" s="88" t="inlineStr">
        <is>
          <t>CÔNG TY TNHH VIỆT NAM PHỔ HUỆ Y TẾ CÔNG NGHỆ (POU HUI)</t>
        </is>
      </c>
    </row>
    <row r="3" ht="19.2" customHeight="1">
      <c r="A3" s="3" t="n"/>
      <c r="B3" s="2" t="n"/>
      <c r="C3" s="14" t="inlineStr">
        <is>
          <t>Người liên lạc 聯絡人：</t>
        </is>
      </c>
      <c r="D3" s="16" t="inlineStr">
        <is>
          <t>張永吉 Jenson</t>
        </is>
      </c>
      <c r="E3" s="14" t="inlineStr">
        <is>
          <t>Người liên lạc 聯絡人：</t>
        </is>
      </c>
      <c r="F3" s="103" t="inlineStr">
        <is>
          <t>Ban Quản lý Dự án &amp; Cơ điện 機電與專案部</t>
        </is>
      </c>
    </row>
    <row r="4" ht="19.2" customHeight="1">
      <c r="A4" s="3" t="n"/>
      <c r="B4" s="2" t="n"/>
      <c r="C4" s="15" t="inlineStr">
        <is>
          <t>Điện thoại 聯絡電話：</t>
        </is>
      </c>
      <c r="D4" s="17" t="inlineStr">
        <is>
          <t>0966687109</t>
        </is>
      </c>
      <c r="E4" s="15" t="inlineStr">
        <is>
          <t>Điện thoại 聯絡電話：</t>
        </is>
      </c>
      <c r="F4" s="88" t="inlineStr">
        <is>
          <t>(Liên hệ khách hàng)</t>
        </is>
      </c>
    </row>
    <row r="5" ht="15.6" customHeight="1">
      <c r="A5" s="3" t="n"/>
      <c r="B5" s="2" t="n"/>
      <c r="C5" s="14" t="inlineStr">
        <is>
          <t>Fax 傳真電話：</t>
        </is>
      </c>
      <c r="D5" s="16" t="n"/>
      <c r="E5" s="14" t="inlineStr">
        <is>
          <t>Fax 傳真電話：</t>
        </is>
      </c>
      <c r="F5" s="104" t="inlineStr"/>
    </row>
    <row r="6" ht="34.8" customHeight="1">
      <c r="A6" s="3" t="n"/>
      <c r="B6" s="2" t="n"/>
      <c r="C6" s="15" t="inlineStr">
        <is>
          <t>Địa chỉ 聯絡地址：</t>
        </is>
      </c>
      <c r="D6" s="18" t="inlineStr">
        <is>
          <t>Lầu 2, số 68 Nguyễn Huệ, Phường Sài Gòn, TP Hồ Chí Minh, Việt Nam</t>
        </is>
      </c>
      <c r="E6" s="15" t="inlineStr">
        <is>
          <t>Địa chỉ 聯絡地址：</t>
        </is>
      </c>
      <c r="F6" s="87" t="inlineStr">
        <is>
          <t>Lô D7/I, Đường số 1B, KCN Vĩnh Lộc, Phường Bình Hưng Hòa B, Q. Bình Tân, TP. Hồ Chí Minh</t>
        </is>
      </c>
    </row>
    <row r="7" ht="15.6" customHeight="1">
      <c r="A7" s="3" t="n"/>
      <c r="B7" s="2" t="n"/>
      <c r="C7" s="14" t="inlineStr">
        <is>
          <t>E-mail電子郵件：</t>
        </is>
      </c>
      <c r="D7" s="41" t="inlineStr">
        <is>
          <t>sales@hongming-global.com</t>
        </is>
      </c>
      <c r="E7" s="14" t="inlineStr">
        <is>
          <t>E-mail電子郵件：</t>
        </is>
      </c>
      <c r="F7" s="88" t="inlineStr">
        <is>
          <t>(Email khách hàng)</t>
        </is>
      </c>
    </row>
    <row r="8">
      <c r="B8" s="89" t="n"/>
      <c r="F8" s="89" t="n"/>
      <c r="G8" s="89" t="n"/>
    </row>
    <row r="9" ht="21.6" customHeight="1">
      <c r="A9" s="90" t="inlineStr">
        <is>
          <t>Báo giá hệ thống đo đếm điện năng 4 trạm biến áp 高壓變電站電能計量系統硬體報價訂購確認單</t>
        </is>
      </c>
    </row>
    <row r="10" ht="16.2" customHeight="1" thickBot="1">
      <c r="A10" s="43" t="inlineStr">
        <is>
          <t>報價日期 Ngày báo giá: 21/10/2026</t>
        </is>
      </c>
      <c r="B10" s="7" t="n"/>
      <c r="C10" s="8" t="n"/>
      <c r="D10" s="8" t="n"/>
      <c r="E10" s="9" t="n"/>
      <c r="F10" s="9" t="n"/>
      <c r="G10" s="9" t="n"/>
    </row>
    <row r="11" ht="35.4" customHeight="1" thickBot="1">
      <c r="A11" s="29" t="inlineStr">
        <is>
          <t>STT</t>
        </is>
      </c>
      <c r="B11" s="30" t="inlineStr">
        <is>
          <t>Tên Sản Phẩm
產品名稱</t>
        </is>
      </c>
      <c r="C11" s="30" t="inlineStr">
        <is>
          <t>Hạng Mục 
項目類別</t>
        </is>
      </c>
      <c r="D11" s="30" t="inlineStr">
        <is>
          <t xml:space="preserve">Nội Dung Sản Phẩm 產品內容 </t>
        </is>
      </c>
      <c r="E11" s="31" t="inlineStr">
        <is>
          <t>Số lượng
數量</t>
        </is>
      </c>
      <c r="F11" s="32" t="inlineStr">
        <is>
          <t>Đơn Giá 單價 USD</t>
        </is>
      </c>
      <c r="G11" s="33" t="inlineStr">
        <is>
          <t>Tổng Giá 總價 USD</t>
        </is>
      </c>
      <c r="H11" s="34" t="inlineStr">
        <is>
          <t>Tổng Giá 總價 VND</t>
        </is>
      </c>
    </row>
    <row r="12" ht="20.4" customFormat="1" customHeight="1" s="6">
      <c r="A12" s="35" t="inlineStr">
        <is>
          <t>1) Giải pháp nâng cấp hệ thống đo đếm điện năng và giám sát 4 trạm biến áp cao thế 普惠醫工4座高壓變電站電能計量與能耗監控系統方案</t>
        </is>
      </c>
      <c r="B12" s="36" t="n"/>
      <c r="C12" s="36" t="n"/>
      <c r="D12" s="36" t="n"/>
      <c r="E12" s="36" t="n"/>
      <c r="F12" s="107" t="n"/>
      <c r="G12" s="107" t="n"/>
      <c r="H12" s="108" t="n">
        <v>26130</v>
      </c>
      <c r="J12" s="109" t="inlineStr">
        <is>
          <t>美金出口價</t>
        </is>
      </c>
      <c r="K12" s="109" t="inlineStr">
        <is>
          <t>進口稅率</t>
        </is>
      </c>
      <c r="L12" s="56" t="inlineStr">
        <is>
          <t>進口關稅</t>
        </is>
      </c>
      <c r="M12" s="57" t="inlineStr">
        <is>
          <t>運費7%</t>
        </is>
      </c>
      <c r="N12" s="57" t="inlineStr">
        <is>
          <t>進貨成本單價</t>
        </is>
      </c>
      <c r="O12" s="57" t="inlineStr">
        <is>
          <t>總計成本</t>
        </is>
      </c>
    </row>
    <row r="13" ht="191.5" customFormat="1" customHeight="1" s="6">
      <c r="A13" s="110" t="n">
        <v>1</v>
      </c>
      <c r="B13" s="111" t="inlineStr">
        <is>
          <t>Đồng hồ đa năng PM210-4-V
PM210-4-V 三相單迴路多功能需量總表</t>
        </is>
      </c>
      <c r="C13" s="112" t="inlineStr">
        <is>
          <t>Đồng hồ đa năng
多功能電表</t>
        </is>
      </c>
      <c r="D13" s="113" t="inlineStr">
        <is>
          <t>Đồng hồ đo đếm điện năng 3 pha đa chức năng PM210-4-V, đo công suất, điện áp, dòng điện, điện năng tiêu thụ (KWh/KVAh/KVARh), hỗ trợ kết nối trực tiếp biến dòng mềm Rogowski, giao tiếp Modbus RTU/RS485. 1 bộ / trạm biến áp (Trạm 1~Trạm 4).
PM210-4-V三相單迴路多功能需量總表, 具備電力參數測量、電能計量功能, 直連羅氏線圈比流器, Modbus RTU/RS485通訊。每座變電站配置1台 (1號~4號高壓變電站)。</t>
        </is>
      </c>
      <c r="E13" s="114" t="n">
        <v>4</v>
      </c>
      <c r="F13" s="115" t="n"/>
      <c r="G13" s="116">
        <f>F13*E13</f>
        <v/>
      </c>
      <c r="H13" s="117">
        <f>G13*H12</f>
        <v/>
      </c>
      <c r="J13" s="118" t="n"/>
      <c r="K13" s="59" t="n">
        <v>0</v>
      </c>
      <c r="L13" s="119">
        <f>J13*K13</f>
        <v/>
      </c>
      <c r="M13" s="119">
        <f>J13*0.07</f>
        <v/>
      </c>
      <c r="N13" s="119">
        <f>J13+L13+M13</f>
        <v/>
      </c>
      <c r="O13" s="119">
        <f>N13*E13</f>
        <v/>
      </c>
      <c r="Q13" s="120" t="n"/>
    </row>
    <row r="14" ht="172" customFormat="1" customHeight="1" s="6">
      <c r="A14" s="110" t="n">
        <v>2</v>
      </c>
      <c r="B14" s="111" t="inlineStr">
        <is>
          <t>Biến dòng mềm Rogowski CT-1000RV (1000A)
三相羅氏比流器 CT-1000RV (1000A)</t>
        </is>
      </c>
      <c r="C14" s="112" t="inlineStr">
        <is>
          <t>Biến dòng Rogowski
羅氏比流器</t>
        </is>
      </c>
      <c r="D14" s="113" t="inlineStr">
        <is>
          <t>Biến dòng kiểu vòng mềm Rogowski coil CT-1000RV, dòng định mức 1000A, độ chính xác cao, lắp đặt kẹp mềm không cần cắt điện dừng máy nhà máy. Dùng cho Trạm 1, Trạm 2, Trạm 3 (máy biến áp 630KVA, cáp XLPE 325mm² x 2 sợi/pha).
CT-1000RV三相羅氏比流器 (1000A), 柔性開口式線圈, 免停電快速施工安裝。適用於1號、2號、3號高壓變電站 (630KVA變壓器, XLPE 325mm²x2線徑)。</t>
        </is>
      </c>
      <c r="E14" s="114" t="n">
        <v>3</v>
      </c>
      <c r="F14" s="115" t="n"/>
      <c r="G14" s="116">
        <f>F14*E14</f>
        <v/>
      </c>
      <c r="H14" s="117">
        <f>G14*H12</f>
        <v/>
      </c>
      <c r="J14" s="118" t="n"/>
      <c r="K14" s="59" t="n">
        <v>0.2</v>
      </c>
      <c r="L14" s="119">
        <f>J14*K14</f>
        <v/>
      </c>
      <c r="M14" s="119">
        <f>J14*0.07</f>
        <v/>
      </c>
      <c r="N14" s="119">
        <f>J14+L14+M14</f>
        <v/>
      </c>
      <c r="O14" s="119">
        <f>N14*E14</f>
        <v/>
      </c>
    </row>
    <row r="15" ht="172" customFormat="1" customHeight="1" s="6">
      <c r="A15" s="110" t="n">
        <v>3</v>
      </c>
      <c r="B15" s="111" t="inlineStr">
        <is>
          <t>Biến dòng mềm Rogowski CT-2000RV (2000A)
三相羅氏比流器 CT-2000RV (2000A)</t>
        </is>
      </c>
      <c r="C15" s="112" t="inlineStr">
        <is>
          <t>Biến dòng Rogowski
羅氏比流器</t>
        </is>
      </c>
      <c r="D15" s="113" t="inlineStr">
        <is>
          <t>Biến dòng kiểu vòng mềm Rogowski coil CT-2000RV, dòng định mức 2000A (dải đo dòng sơ cấp 1200A), đường kính vòng lớn luồn qua bó 3 sợi cáp/pha, không cần cắt điện. Dùng cho Trạm 4 (máy biến áp 750KVA, cáp XLPE 250mm² x 3 sợi/pha).
CT-2000RV三相羅氏比流器 (2000A), 大口徑柔性開口式線圈, 適用於單相3條電纜束線, 免停電快速安裝。適用於4號高壓變電站 (750KVA變壓器, XLPE 250mm²x3線徑)。</t>
        </is>
      </c>
      <c r="E15" s="114" t="n">
        <v>1</v>
      </c>
      <c r="F15" s="115" t="n"/>
      <c r="G15" s="116">
        <f>F15*E15</f>
        <v/>
      </c>
      <c r="H15" s="117">
        <f>G15*H12</f>
        <v/>
      </c>
      <c r="J15" s="118" t="n"/>
      <c r="K15" s="59" t="n">
        <v>0.2</v>
      </c>
      <c r="L15" s="119">
        <f>J15*K15</f>
        <v/>
      </c>
      <c r="M15" s="119">
        <f>J15*0.07</f>
        <v/>
      </c>
      <c r="N15" s="119">
        <f>J15+L15+M15</f>
        <v/>
      </c>
      <c r="O15" s="119">
        <f>N15*E15</f>
        <v/>
      </c>
    </row>
    <row r="16" ht="211" customFormat="1" customHeight="1" s="6">
      <c r="A16" s="110" t="n">
        <v>4</v>
      </c>
      <c r="B16" s="111" t="inlineStr">
        <is>
          <t>Gateway thu thập dữ liệu CC2051
CC2051 工業級資料收集閘道器</t>
        </is>
      </c>
      <c r="C16" s="112" t="inlineStr">
        <is>
          <t>Gateway thu thập dữ liệu
數據採集網關</t>
        </is>
      </c>
      <c r="D16" s="113" t="inlineStr">
        <is>
          <t>Bộ điều khiển/thu thập dữ liệu biên công nghiệp CC2051 (Edge Gateway), cổng RS-485 Modbus RTU thu thập tín hiệu từ các đồng hồ đo điện PM210, chuyển đổi sang Modbus TCP / MQTT qua cổng mạng RJ45 Ethernet, truyền dữ liệu liên tục về hệ thống EMS trung tâm.
CC2051工業級邊緣計算與資料收集閘道器, 具備RS-485 Modbus RTU接口採集PM210電表數據, 經由RJ45以太網轉換為Modbus TCP/MQTT協議, 即時上傳至中央能源管理系統 (EMS)。</t>
        </is>
      </c>
      <c r="E16" s="114" t="n">
        <v>2</v>
      </c>
      <c r="F16" s="115" t="n"/>
      <c r="G16" s="116">
        <f>F16*E16</f>
        <v/>
      </c>
      <c r="H16" s="117">
        <f>G16*H12</f>
        <v/>
      </c>
      <c r="J16" s="118" t="n"/>
      <c r="K16" s="59" t="n">
        <v>0.08</v>
      </c>
      <c r="L16" s="119">
        <f>J16*K16</f>
        <v/>
      </c>
      <c r="M16" s="119">
        <f>J16*0.07</f>
        <v/>
      </c>
      <c r="N16" s="119">
        <f>J16+L16+M16</f>
        <v/>
      </c>
      <c r="O16" s="119">
        <f>N16*E16</f>
        <v/>
      </c>
    </row>
    <row r="17" ht="172" customFormat="1" customHeight="1" s="6">
      <c r="A17" s="110" t="n">
        <v>5</v>
      </c>
      <c r="B17" s="111" t="inlineStr">
        <is>
          <t>Bộ nguồn công nghiệp 24VDC (PW)
工業級電源供應器 (PW)</t>
        </is>
      </c>
      <c r="C17" s="112" t="inlineStr">
        <is>
          <t>Nguồn cấp công nghiệp
電源供應器</t>
        </is>
      </c>
      <c r="D17" s="113" t="inlineStr">
        <is>
          <t>Bộ nguồn công nghiệp gắn Din-rail Meanwell/tương đương, điện áp vào dải rộng AC 85~265V, đầu ra DC 24V ổn định, chống sét lan truyền và quá tải, cấp nguồn liên tục cho Gateway CC2051 và đồng hồ PM210. 1 bộ / trạm biến áp.
工業級導軌式開關電源供應器, 寬電壓輸入 AC 85~265V, 輸出 DC 24V 穩定電源, 具備過載與防雷保護, 為 PM210 電表及 CC2051 閘道器供電。每座變電站1台。</t>
        </is>
      </c>
      <c r="E17" s="114" t="n">
        <v>4</v>
      </c>
      <c r="F17" s="115" t="n"/>
      <c r="G17" s="116">
        <f>F17*E17</f>
        <v/>
      </c>
      <c r="H17" s="117">
        <f>G17*H12</f>
        <v/>
      </c>
      <c r="J17" s="118" t="n"/>
      <c r="K17" s="59" t="n">
        <v>0.08</v>
      </c>
      <c r="L17" s="119">
        <f>J17*K17</f>
        <v/>
      </c>
      <c r="M17" s="119">
        <f>J17*0.07</f>
        <v/>
      </c>
      <c r="N17" s="119">
        <f>J17+L17+M17</f>
        <v/>
      </c>
      <c r="O17" s="119">
        <f>N17*E17</f>
        <v/>
      </c>
    </row>
    <row r="18" ht="152.5" customFormat="1" customHeight="1" s="6">
      <c r="A18" s="110" t="n">
        <v>6</v>
      </c>
      <c r="B18" s="111" t="inlineStr">
        <is>
          <t>Bộ chia mạng công nghiệp 5-Port
工業級5埠乙太網交換機 (LAN SWITCH)</t>
        </is>
      </c>
      <c r="C18" s="112" t="inlineStr">
        <is>
          <t>Thiết bị mạng
網絡設備</t>
        </is>
      </c>
      <c r="D18" s="113" t="inlineStr">
        <is>
          <t>Switch mạng công nghiệp 5 cổng RJ45 10/100Mbps gắn thanh ray, vỏ kim loại chuẩn công nghiệp chống nhiễu điện từ, kết nối truyền dữ liệu từ các Gateway CC2051 về mạng nội bộ LAN nhà máy.
工業級5埠 10/100Mbps 導軌式交換機, 金屬抗干擾外殼, 適用於工廠高壓變電站環境, 將 CC2051 網關連接至廠區局域網 (LAN)。</t>
        </is>
      </c>
      <c r="E18" s="121" t="n">
        <v>1</v>
      </c>
      <c r="F18" s="115" t="n"/>
      <c r="G18" s="116">
        <f>F18*E18</f>
        <v/>
      </c>
      <c r="H18" s="117">
        <f>G18*H12</f>
        <v/>
      </c>
      <c r="J18" s="122" t="n"/>
      <c r="K18" s="54" t="n">
        <v>0.08</v>
      </c>
      <c r="L18" s="119">
        <f>J18*K18</f>
        <v/>
      </c>
      <c r="M18">
        <f>J18*0.07</f>
        <v/>
      </c>
      <c r="N18" s="119">
        <f>J18+L18+M18</f>
        <v/>
      </c>
      <c r="O18" s="119">
        <f>N18*E18</f>
        <v/>
      </c>
    </row>
    <row r="19" ht="211" customFormat="1" customHeight="1" s="6">
      <c r="A19" s="110" t="n">
        <v>7</v>
      </c>
      <c r="B19" s="111" t="inlineStr">
        <is>
          <t>Cáp mạng Cat6, cáp RS485 &amp; Vật tư phụ
網絡線 Cat.6、RS485通訊線及安裝輔材</t>
        </is>
      </c>
      <c r="C19" s="112" t="inlineStr">
        <is>
          <t>Vật tư phụ
輔助材料</t>
        </is>
      </c>
      <c r="D19" s="113" t="inlineStr">
        <is>
          <t>Bao gồm nội dung 內容包含:
- Cáp mạng Cat6: 網絡線 Category 6 UTP Cable, 4-Pair
- Cáp truyền thông chống nhiễu chuyên dụng RS485 (UL2464 24AWG 2P 隔離通訊線)
- Ống luồn bảo vệ chống cháy, dây tiếp địa, cầu chì bảo vệ 阻燃保護套管、接地線、保險絲
- Đầu cosse bọc cách điện, nhãn đánh dấu dây cáp và toàn bộ phụ kiện đấu nối 冷壓端子、電纜號碼管及全套配線輔材。</t>
        </is>
      </c>
      <c r="E19" s="123" t="n">
        <v>1</v>
      </c>
      <c r="F19" s="115" t="n"/>
      <c r="G19" s="116">
        <f>F19*E19</f>
        <v/>
      </c>
      <c r="H19" s="117">
        <f>G19*H12</f>
        <v/>
      </c>
      <c r="J19" s="122" t="n"/>
      <c r="K19" s="54" t="n">
        <v>0.08</v>
      </c>
      <c r="L19" s="119">
        <f>J19*K19</f>
        <v/>
      </c>
      <c r="M19">
        <f>J19*0.07</f>
        <v/>
      </c>
      <c r="N19" s="119">
        <f>J19+L19+M19</f>
        <v/>
      </c>
      <c r="O19" s="119">
        <f>N19*E19</f>
        <v/>
      </c>
    </row>
    <row r="20" ht="211" customHeight="1" thickBot="1">
      <c r="A20" s="124" t="n">
        <v>8</v>
      </c>
      <c r="B20" s="111" t="inlineStr">
        <is>
          <t>Chi phí thi công
施工費</t>
        </is>
      </c>
      <c r="C20" s="112" t="inlineStr">
        <is>
          <t>Chi phí thi công
施工費</t>
        </is>
      </c>
      <c r="D20" s="113" t="inlineStr">
        <is>
          <t>Bao gồm nội dung 內容包含:
- Cài đặt hệ thống 系統設定
- Lắp đặt phần cứng 4 trạm biến áp 4座高壓變電站硬體安裝
- Hiệu chỉnh chức năng &amp; liên động Modbus CC2051 功能調適與通訊聯調
- Phí quản lý, vận chuyển 管理、運費
- Thiết kế bản vẽ hoàn công 設計、竣工圖費用
- Chi phí đi lại, giàn giáo, dụng cụ an toàn 交通費、鷹架、工安器具...</t>
        </is>
      </c>
      <c r="E20" s="125" t="n">
        <v>1</v>
      </c>
      <c r="F20" s="126" t="n"/>
      <c r="G20" s="127">
        <f>F20*E20</f>
        <v/>
      </c>
      <c r="H20" s="128">
        <f>G20*H12</f>
        <v/>
      </c>
      <c r="K20" t="n">
        <v>0.08</v>
      </c>
      <c r="L20">
        <f>J20*K20</f>
        <v/>
      </c>
      <c r="M20">
        <f>J20*0.07</f>
        <v/>
      </c>
      <c r="N20" s="73">
        <f>J20+L20+M20</f>
        <v/>
      </c>
      <c r="O20" s="129">
        <f>N20*E20</f>
        <v/>
      </c>
    </row>
    <row r="21" ht="18" customHeight="1">
      <c r="A21" s="130" t="inlineStr">
        <is>
          <t>以下空白</t>
        </is>
      </c>
      <c r="B21" s="131" t="n"/>
      <c r="C21" s="131" t="n"/>
      <c r="D21" s="131" t="n"/>
      <c r="E21" s="131" t="n"/>
      <c r="F21" s="131" t="n"/>
      <c r="G21" s="131" t="n"/>
      <c r="H21" s="132" t="n"/>
      <c r="N21" s="73" t="inlineStr">
        <is>
          <t>利潤</t>
        </is>
      </c>
      <c r="O21" s="129">
        <f>G21-O20</f>
        <v/>
      </c>
    </row>
    <row r="22" ht="38" customHeight="1">
      <c r="A22" s="133" t="n"/>
      <c r="F22" s="134" t="inlineStr">
        <is>
          <t>Tạm tính 小計</t>
        </is>
      </c>
      <c r="G22" s="135">
        <f>SUM(G13:G20)</f>
        <v/>
      </c>
      <c r="H22" s="136">
        <f>G22*H12</f>
        <v/>
      </c>
      <c r="N22" s="1" t="inlineStr">
        <is>
          <t>合計成本</t>
        </is>
      </c>
      <c r="O22" s="54">
        <f>SUM(O13:O20)</f>
        <v/>
      </c>
    </row>
    <row r="23" ht="38" customHeight="1" thickBot="1">
      <c r="A23" s="137" t="n"/>
      <c r="F23" s="134" t="inlineStr">
        <is>
          <t>Thuế VAT 8% 增值稅</t>
        </is>
      </c>
      <c r="G23" s="135">
        <f>G22*0.08</f>
        <v/>
      </c>
      <c r="H23" s="136">
        <f>H22*0.08</f>
        <v/>
      </c>
      <c r="N23" t="inlineStr">
        <is>
          <t>利潤</t>
        </is>
      </c>
      <c r="O23">
        <f>G22-O22</f>
        <v/>
      </c>
    </row>
    <row r="24" ht="38" customHeight="1">
      <c r="A24" s="138" t="n"/>
      <c r="B24" s="139" t="n"/>
      <c r="C24" s="139" t="n"/>
      <c r="D24" s="139" t="n"/>
      <c r="E24" s="139" t="n"/>
      <c r="F24" s="140" t="inlineStr">
        <is>
          <t>Tổng cộng 總金額</t>
        </is>
      </c>
      <c r="G24" s="141">
        <f>G22*1.08</f>
        <v/>
      </c>
      <c r="H24" s="142">
        <f>H22*1.08</f>
        <v/>
      </c>
      <c r="N24" t="inlineStr">
        <is>
          <t>% 利潤</t>
        </is>
      </c>
      <c r="O24" s="143">
        <f>O23/G22</f>
        <v/>
      </c>
    </row>
    <row r="25" ht="24" customHeight="1">
      <c r="A25" s="144" t="inlineStr">
        <is>
          <t>※客戶確認 Xác nhận khách hàng</t>
        </is>
      </c>
      <c r="B25" s="145" t="n"/>
      <c r="C25" s="146" t="n"/>
      <c r="D25" s="147" t="inlineStr">
        <is>
          <t>◆ 備註聲明</t>
        </is>
      </c>
      <c r="E25" s="145" t="n"/>
      <c r="F25" s="145" t="n"/>
      <c r="G25" s="145" t="n"/>
      <c r="H25" s="148" t="n"/>
    </row>
    <row r="26" ht="54" customHeight="1">
      <c r="A26" s="149" t="inlineStr">
        <is>
          <t>（請簽名用印） Chữ ký và con dấu</t>
        </is>
      </c>
      <c r="C26" s="150" t="n"/>
      <c r="D26" s="151" t="inlineStr">
        <is>
          <t>1. 以上報價交期：報價單簽回後，另日程安排後回覆；
   Thời gian giao hàng của báo giá trên: sau khi báo giá được ký và gửi lại, lịch trình cụ thể sẽ được thông báo sau;</t>
        </is>
      </c>
      <c r="H26" s="152" t="n"/>
    </row>
    <row r="27" ht="54" customHeight="1" thickBot="1">
      <c r="A27" s="137" t="n"/>
      <c r="C27" s="150" t="n"/>
      <c r="D27" s="153" t="inlineStr">
        <is>
          <r>
            <rPr>
              <rFont val="Microsoft YaHei"/>
              <b val="1"/>
              <color theme="1"/>
              <sz val="11"/>
            </rPr>
            <t>2. 報價有效期限：2026/11/21 止，報價簽回視同專案確認，不可任意終止、取消本專案；</t>
          </r>
          <r>
            <rPr>
              <rFont val="Microsoft YaHei"/>
              <b val="1"/>
              <color rgb="FF0000FF"/>
              <sz val="11"/>
            </rPr>
            <t>交貨後保固一年</t>
          </r>
          <r>
            <rPr>
              <rFont val="Microsoft YaHei"/>
              <b val="1"/>
              <color theme="1"/>
              <sz val="11"/>
            </rPr>
            <t xml:space="preserve">
    Thời hạn hiệu lực của báo giá: đến hết ngày 21/11/2026. Việc ký và gửi lại báo giá được xem là xác nhận dự án, 
    không được phép đơn phương chấm dứt hoặc hủy bỏ dự án này; </t>
          </r>
          <r>
            <rPr>
              <rFont val="Microsoft YaHei"/>
              <b val="1"/>
              <color rgb="FF0000FF"/>
              <sz val="11"/>
            </rPr>
            <t>Bảo hành 1 năm kể từ ngày giao hàng.</t>
          </r>
        </is>
      </c>
      <c r="H27" s="152" t="n"/>
    </row>
    <row r="28" ht="58" customHeight="1">
      <c r="A28" s="138" t="n"/>
      <c r="B28" s="139" t="n"/>
      <c r="C28" s="154" t="n"/>
      <c r="D28" s="155" t="inlineStr">
        <is>
          <t>3. 付款方式 : 訂金 35%、 交貨 55%、驗收 10% TT30Day。
     Điều khoản thanh toán:  [Đặt cọc: 35%, Khi giao hàng: 55%, Sau khi nghiệm thu: Thanh toán 10% còn lại theo điều khoản TT 30 ngày (TT30 Days).]</t>
        </is>
      </c>
      <c r="E28" s="139" t="n"/>
      <c r="F28" s="139" t="n"/>
      <c r="G28" s="139" t="n"/>
      <c r="H28" s="156" t="n"/>
    </row>
    <row r="29"/>
    <row r="32">
      <c r="G32" s="157" t="n"/>
    </row>
    <row r="33">
      <c r="G33" s="158" t="n"/>
    </row>
    <row r="34">
      <c r="G34" s="157" t="n"/>
    </row>
    <row r="35">
      <c r="F35" s="21" t="n"/>
      <c r="G35" s="157" t="n"/>
    </row>
    <row r="36">
      <c r="F36" s="159" t="n"/>
    </row>
    <row r="37">
      <c r="F37" s="157" t="n"/>
    </row>
    <row r="44">
      <c r="H44" s="160" t="n"/>
    </row>
  </sheetData>
  <mergeCells count="18">
    <mergeCell ref="A9:H9"/>
    <mergeCell ref="A25:C25"/>
    <mergeCell ref="F4:G4"/>
    <mergeCell ref="A21:H21"/>
    <mergeCell ref="D28:H28"/>
    <mergeCell ref="F2:H2"/>
    <mergeCell ref="E1:H1"/>
    <mergeCell ref="F3:G3"/>
    <mergeCell ref="D25:H25"/>
    <mergeCell ref="B8:E8"/>
    <mergeCell ref="F6:H6"/>
    <mergeCell ref="C1:D1"/>
    <mergeCell ref="F5:G5"/>
    <mergeCell ref="D27:H27"/>
    <mergeCell ref="A26:C28"/>
    <mergeCell ref="F7:H7"/>
    <mergeCell ref="A22:E24"/>
    <mergeCell ref="D26:H26"/>
  </mergeCells>
  <printOptions horizontalCentered="1"/>
  <pageMargins left="0.5" right="0.5" top="0.5" bottom="0.5" header="0.3" footer="0.3"/>
  <pageSetup orientation="portrait" paperSize="9" scale="38"/>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eSafe360.com</dc:creator>
  <dcterms:created xmlns:dcterms="http://purl.org/dc/terms/" xmlns:xsi="http://www.w3.org/2001/XMLSchema-instance" xsi:type="dcterms:W3CDTF">2004-05-25T02:02:00Z</dcterms:created>
  <dcterms:modified xmlns:dcterms="http://purl.org/dc/terms/" xmlns:xsi="http://www.w3.org/2001/XMLSchema-instance" xsi:type="dcterms:W3CDTF">2026-10-21T07:26:34Z</dcterms:modified>
  <cp:lastModifiedBy>洋銘資訊</cp:lastModifiedBy>
  <cp:lastPrinted>2026-07-24T08:54:40Z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1028-11.8.2.8378</vt:lpwstr>
  </property>
</Properties>
</file>