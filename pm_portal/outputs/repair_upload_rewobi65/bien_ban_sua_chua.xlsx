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D:\lamsung\All KHÁCH HÀNG\KHÁCH HÀNG CHANXIN-CX\GỬI THÔNG TIN\phiếu giao hàng\đơn giao hàng sữa chữ tháng 10\"/>
    </mc:Choice>
  </mc:AlternateContent>
  <xr:revisionPtr revIDLastSave="0" documentId="13_ncr:1_{0EE0CA8A-C346-4C3C-B70C-53965BD8435C}" xr6:coauthVersionLast="47" xr6:coauthVersionMax="47" xr10:uidLastSave="{00000000-0000-0000-0000-000000000000}"/>
  <bookViews>
    <workbookView xWindow="-110" yWindow="-110" windowWidth="25820" windowHeight="15500" xr2:uid="{00000000-000D-0000-FFFF-FFFF00000000}"/>
  </bookViews>
  <sheets>
    <sheet name="CX Technology (VN)" sheetId="1" r:id="rId1"/>
    <sheet name="Sheet1" sheetId="2" r:id="rId2"/>
  </sheets>
  <definedNames>
    <definedName name="_xlnm.Print_Area" localSheetId="0">'CX Technology (VN)'!$A$1:$I$35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2" l="1"/>
  <c r="I17" i="2"/>
  <c r="I16" i="2"/>
  <c r="I15" i="2"/>
  <c r="I14" i="2"/>
  <c r="I13" i="2"/>
  <c r="I12" i="2"/>
  <c r="H19" i="1"/>
  <c r="H17" i="1"/>
  <c r="H16" i="1"/>
  <c r="H15" i="1"/>
  <c r="H14" i="1"/>
  <c r="H13" i="1"/>
  <c r="H12" i="1"/>
</calcChain>
</file>

<file path=xl/sharedStrings.xml><?xml version="1.0" encoding="utf-8"?>
<sst xmlns="http://schemas.openxmlformats.org/spreadsheetml/2006/main" count="124" uniqueCount="68">
  <si>
    <t xml:space="preserve">    </t>
  </si>
  <si>
    <t>CÔNG TY TNHH TOÀN CẦU HONG MING</t>
  </si>
  <si>
    <t>浤詺資訊責任有限公司</t>
  </si>
  <si>
    <t>硬體交貨簽收單 Đơn Ký Nhận Bàn Giao PhầnCứng</t>
  </si>
  <si>
    <t>雙方簽收確認簽名 Chữ ký xác nhận ký nhận của hai bên</t>
  </si>
  <si>
    <r>
      <t>乙方 (賣方) Bên Bán：</t>
    </r>
    <r>
      <rPr>
        <b/>
        <sz val="18"/>
        <color theme="1"/>
        <rFont val="Microsoft YaHei"/>
        <family val="2"/>
      </rPr>
      <t>CÔNG TY TNHH TOÀN CẦU HONG MING</t>
    </r>
  </si>
  <si>
    <t>Hardware Delivery Receipt</t>
  </si>
  <si>
    <r>
      <t>甲方 (買方) Bên Mua：</t>
    </r>
    <r>
      <rPr>
        <b/>
        <sz val="18"/>
        <color theme="1"/>
        <rFont val="Microsoft YaHei"/>
        <family val="2"/>
      </rPr>
      <t>CÔNG TY CỔ PHẦN  CX Technology (VN)</t>
    </r>
  </si>
  <si>
    <t>CÔNG TY CỔ PHẦN  CX Technology (VN)</t>
  </si>
  <si>
    <t>STT</t>
  </si>
  <si>
    <r>
      <rPr>
        <b/>
        <sz val="16"/>
        <color rgb="FF000000"/>
        <rFont val="微軟正黑體"/>
        <family val="2"/>
        <charset val="136"/>
      </rPr>
      <t xml:space="preserve">Tên Sản Phẩm
</t>
    </r>
    <r>
      <rPr>
        <b/>
        <sz val="16"/>
        <color rgb="FF000000"/>
        <rFont val="Noto Sans CJK SC"/>
        <family val="2"/>
      </rPr>
      <t>產品名稱</t>
    </r>
  </si>
  <si>
    <r>
      <rPr>
        <b/>
        <sz val="16"/>
        <color rgb="FF000000"/>
        <rFont val="微軟正黑體"/>
        <family val="2"/>
        <charset val="136"/>
      </rPr>
      <t xml:space="preserve">Hạng mục khách hàng yêu cầu kiểm tra </t>
    </r>
    <r>
      <rPr>
        <b/>
        <sz val="16"/>
        <color rgb="FF000000"/>
        <rFont val="Noto Sans CJK SC"/>
        <family val="2"/>
      </rPr>
      <t>客戶要求檢查的項目</t>
    </r>
  </si>
  <si>
    <r>
      <rPr>
        <b/>
        <sz val="16"/>
        <color rgb="FF000000"/>
        <rFont val="微軟正黑體"/>
        <family val="2"/>
        <charset val="136"/>
      </rPr>
      <t xml:space="preserve">Bộ phận gửi sửa 
</t>
    </r>
    <r>
      <rPr>
        <b/>
        <sz val="16"/>
        <color rgb="FF000000"/>
        <rFont val="Noto Sans CJK SC"/>
        <family val="2"/>
      </rPr>
      <t>送修部門</t>
    </r>
  </si>
  <si>
    <r>
      <rPr>
        <b/>
        <sz val="16"/>
        <color rgb="FF000000"/>
        <rFont val="微軟正黑體"/>
        <family val="2"/>
        <charset val="136"/>
      </rPr>
      <t xml:space="preserve">Kết quả kiểm tra
 </t>
    </r>
    <r>
      <rPr>
        <b/>
        <sz val="16"/>
        <color rgb="FF000000"/>
        <rFont val="Noto Sans CJK SC"/>
        <family val="2"/>
      </rPr>
      <t>檢查結果</t>
    </r>
  </si>
  <si>
    <r>
      <rPr>
        <b/>
        <sz val="16"/>
        <color rgb="FF000000"/>
        <rFont val="微軟正黑體"/>
        <family val="2"/>
        <charset val="136"/>
      </rPr>
      <t xml:space="preserve">Số lượng
</t>
    </r>
    <r>
      <rPr>
        <b/>
        <sz val="16"/>
        <color rgb="FF000000"/>
        <rFont val="Noto Sans CJK SC"/>
        <family val="2"/>
      </rPr>
      <t>數量</t>
    </r>
  </si>
  <si>
    <r>
      <rPr>
        <b/>
        <sz val="16"/>
        <color rgb="FF000000"/>
        <rFont val="微軟正黑體"/>
        <family val="2"/>
        <charset val="136"/>
      </rPr>
      <t xml:space="preserve">Thời gian hoàn thành
 </t>
    </r>
    <r>
      <rPr>
        <b/>
        <sz val="16"/>
        <color rgb="FF000000"/>
        <rFont val="Noto Sans CJK SC"/>
        <family val="2"/>
      </rPr>
      <t>完成時間</t>
    </r>
  </si>
  <si>
    <r>
      <rPr>
        <b/>
        <sz val="16"/>
        <color rgb="FF000000"/>
        <rFont val="微軟正黑體"/>
        <family val="2"/>
        <charset val="136"/>
      </rPr>
      <t xml:space="preserve">Đơn Giá  
</t>
    </r>
    <r>
      <rPr>
        <b/>
        <sz val="16"/>
        <color rgb="FF000000"/>
        <rFont val="Noto Sans CJK SC"/>
        <family val="2"/>
      </rPr>
      <t>單價</t>
    </r>
  </si>
  <si>
    <r>
      <rPr>
        <b/>
        <sz val="16"/>
        <color rgb="FF000000"/>
        <rFont val="微軟正黑體"/>
        <family val="2"/>
        <charset val="136"/>
      </rPr>
      <t xml:space="preserve">Tổng Giá 
</t>
    </r>
    <r>
      <rPr>
        <b/>
        <sz val="16"/>
        <color rgb="FF000000"/>
        <rFont val="Noto Sans CJK SC"/>
        <family val="2"/>
      </rPr>
      <t>總價</t>
    </r>
  </si>
  <si>
    <t>RFR900NA55RSWLBA574</t>
  </si>
  <si>
    <r>
      <rPr>
        <sz val="14"/>
        <rFont val="Times New Roman"/>
        <family val="1"/>
        <charset val="163"/>
      </rPr>
      <t xml:space="preserve">Cò bắn không nhả 
</t>
    </r>
    <r>
      <rPr>
        <sz val="14"/>
        <rFont val="Noto Sans CJK SC"/>
        <family val="2"/>
      </rPr>
      <t>扳机扣住不松</t>
    </r>
  </si>
  <si>
    <t>CNC</t>
  </si>
  <si>
    <t>No error founds</t>
  </si>
  <si>
    <r>
      <rPr>
        <sz val="14"/>
        <rFont val="Calibri"/>
        <family val="2"/>
        <charset val="1"/>
      </rPr>
      <t>4–6</t>
    </r>
    <r>
      <rPr>
        <sz val="14"/>
        <rFont val="Noto Sans CJK SC"/>
        <family val="2"/>
      </rPr>
      <t>周</t>
    </r>
  </si>
  <si>
    <t>EF550RA4LAWBHI677</t>
  </si>
  <si>
    <r>
      <rPr>
        <sz val="14"/>
        <rFont val="Times New Roman"/>
        <family val="1"/>
        <charset val="163"/>
      </rPr>
      <t xml:space="preserve">Màn hình lỗi 
</t>
    </r>
    <r>
      <rPr>
        <sz val="14"/>
        <rFont val="Noto Sans CJK SC"/>
        <family val="2"/>
      </rPr>
      <t>螢幕故障</t>
    </r>
  </si>
  <si>
    <t>Barcode</t>
  </si>
  <si>
    <t>RFR900NA55RSWLBA565</t>
  </si>
  <si>
    <t>Mounting Adapter</t>
  </si>
  <si>
    <t>EF550RA4LAWBHI641</t>
  </si>
  <si>
    <r>
      <rPr>
        <sz val="14"/>
        <rFont val="Times New Roman"/>
        <family val="1"/>
        <charset val="163"/>
      </rPr>
      <t xml:space="preserve">Cò bắn → </t>
    </r>
    <r>
      <rPr>
        <sz val="14"/>
        <rFont val="Noto Sans CJK SC"/>
        <family val="2"/>
      </rPr>
      <t xml:space="preserve">扳机  </t>
    </r>
    <r>
      <rPr>
        <sz val="14"/>
        <rFont val="Times New Roman"/>
        <family val="1"/>
        <charset val="163"/>
      </rPr>
      <t xml:space="preserve">Sạc không vô điện → </t>
    </r>
    <r>
      <rPr>
        <sz val="14"/>
        <rFont val="Noto Sans CJK SC"/>
        <family val="2"/>
      </rPr>
      <t xml:space="preserve">充电器无法充电  </t>
    </r>
  </si>
  <si>
    <t>xi treo</t>
  </si>
  <si>
    <t>EF550RA4LAWBHI657</t>
  </si>
  <si>
    <t>EF550RA4LAWBHI650</t>
  </si>
  <si>
    <r>
      <rPr>
        <sz val="14"/>
        <rFont val="Noto Sans CJK SC"/>
        <family val="2"/>
      </rPr>
      <t xml:space="preserve">以下空白 </t>
    </r>
    <r>
      <rPr>
        <sz val="14"/>
        <rFont val="微軟正黑體"/>
        <family val="2"/>
        <charset val="136"/>
      </rPr>
      <t>Chỗ trống sau đây</t>
    </r>
  </si>
  <si>
    <r>
      <rPr>
        <b/>
        <sz val="12"/>
        <color rgb="FF0000FF"/>
        <rFont val="Noto Sans CJK SC"/>
        <family val="2"/>
      </rPr>
      <t xml:space="preserve">此致
         </t>
    </r>
    <r>
      <rPr>
        <b/>
        <sz val="12"/>
        <color rgb="FF0000FF"/>
        <rFont val="微軟正黑體"/>
        <family val="2"/>
        <charset val="136"/>
      </rPr>
      <t>Công ty cổ phần CX Technology (VN)</t>
    </r>
  </si>
  <si>
    <r>
      <rPr>
        <b/>
        <sz val="14"/>
        <color rgb="FFFF0000"/>
        <rFont val="Arial"/>
        <family val="2"/>
        <charset val="1"/>
      </rPr>
      <t xml:space="preserve">TỔNG THÀNH TIỀN 
</t>
    </r>
    <r>
      <rPr>
        <b/>
        <sz val="14"/>
        <color rgb="FFFF0000"/>
        <rFont val="Noto Sans CJK SC"/>
        <family val="2"/>
      </rPr>
      <t>總價</t>
    </r>
  </si>
  <si>
    <t>Sau khi kiểm tra hàng hóa, bên nhận ký xác nhận đồng nghĩa với việc đã xác nhận số lượng, chủng loại và tình trạng hàng hóa tại thời điểm nhận hàng.
貨物經檢查後，收貨方簽字確認，即表示已確認收貨當時貨物的數量、品項及貨物狀況。</t>
  </si>
  <si>
    <t>Ghi chú
備註</t>
  </si>
  <si>
    <t xml:space="preserve"> 甲方  Bên Mua(確認)  2026年10月09日</t>
  </si>
  <si>
    <t>乙方 Bên Bán(確認)  2026年10月09日</t>
  </si>
  <si>
    <r>
      <rPr>
        <b/>
        <sz val="12"/>
        <color theme="0"/>
        <rFont val="微軟正黑體"/>
        <family val="2"/>
        <charset val="136"/>
      </rPr>
      <t xml:space="preserve">Thông tin người bán </t>
    </r>
    <r>
      <rPr>
        <b/>
        <sz val="12"/>
        <color theme="0"/>
        <rFont val="Noto Sans CJK SC"/>
        <family val="2"/>
      </rPr>
      <t>賣方資訊</t>
    </r>
  </si>
  <si>
    <r>
      <rPr>
        <b/>
        <sz val="12"/>
        <color theme="0"/>
        <rFont val="微軟正黑體"/>
        <family val="2"/>
        <charset val="136"/>
      </rPr>
      <t xml:space="preserve">Thông tin người mua </t>
    </r>
    <r>
      <rPr>
        <b/>
        <sz val="12"/>
        <color theme="0"/>
        <rFont val="Noto Sans CJK SC"/>
        <family val="2"/>
      </rPr>
      <t>買方資訊</t>
    </r>
  </si>
  <si>
    <r>
      <rPr>
        <b/>
        <sz val="12"/>
        <rFont val="Microsoft YaHei"/>
        <family val="2"/>
        <charset val="136"/>
      </rPr>
      <t xml:space="preserve">Tên công ty </t>
    </r>
    <r>
      <rPr>
        <b/>
        <sz val="12"/>
        <rFont val="Noto Sans CJK SC"/>
        <family val="2"/>
      </rPr>
      <t>公司名稱：</t>
    </r>
  </si>
  <si>
    <t>Công ty cổ phần CX Technology (VN)</t>
  </si>
  <si>
    <r>
      <rPr>
        <b/>
        <sz val="12"/>
        <rFont val="Microsoft YaHei"/>
        <family val="2"/>
        <charset val="136"/>
      </rPr>
      <t xml:space="preserve">Người liên lạc </t>
    </r>
    <r>
      <rPr>
        <b/>
        <sz val="12"/>
        <rFont val="Noto Sans CJK SC"/>
        <family val="2"/>
      </rPr>
      <t>聯絡人：</t>
    </r>
  </si>
  <si>
    <r>
      <rPr>
        <sz val="12"/>
        <rFont val="Noto Sans CJK SC"/>
        <family val="2"/>
      </rPr>
      <t xml:space="preserve">張永吉 </t>
    </r>
    <r>
      <rPr>
        <sz val="12"/>
        <rFont val="Microsoft YaHei"/>
        <family val="2"/>
        <charset val="136"/>
      </rPr>
      <t>Jenson</t>
    </r>
  </si>
  <si>
    <r>
      <rPr>
        <sz val="12"/>
        <rFont val="Noto Sans CJK SC"/>
        <family val="2"/>
      </rPr>
      <t xml:space="preserve">採購部 </t>
    </r>
    <r>
      <rPr>
        <sz val="12"/>
        <rFont val="Microsoft YaHei"/>
        <family val="2"/>
        <charset val="136"/>
      </rPr>
      <t xml:space="preserve">- </t>
    </r>
    <r>
      <rPr>
        <sz val="12"/>
        <rFont val="Noto Sans CJK SC"/>
        <family val="2"/>
      </rPr>
      <t>阮金銀</t>
    </r>
  </si>
  <si>
    <r>
      <rPr>
        <b/>
        <sz val="12"/>
        <rFont val="Microsoft YaHei"/>
        <family val="2"/>
        <charset val="136"/>
      </rPr>
      <t xml:space="preserve">Điện thoại </t>
    </r>
    <r>
      <rPr>
        <b/>
        <sz val="12"/>
        <rFont val="Noto Sans CJK SC"/>
        <family val="2"/>
      </rPr>
      <t>聯絡電話：</t>
    </r>
  </si>
  <si>
    <t>+84966687109, +8663-3392057</t>
  </si>
  <si>
    <t>+84-28-3770-1025~26 Ext: 226</t>
  </si>
  <si>
    <r>
      <rPr>
        <b/>
        <sz val="12"/>
        <rFont val="Microsoft YaHei"/>
        <family val="2"/>
        <charset val="136"/>
      </rPr>
      <t xml:space="preserve">Fax </t>
    </r>
    <r>
      <rPr>
        <b/>
        <sz val="12"/>
        <rFont val="Noto Sans CJK SC"/>
        <family val="2"/>
      </rPr>
      <t>傳真電話：</t>
    </r>
  </si>
  <si>
    <r>
      <rPr>
        <b/>
        <sz val="12"/>
        <rFont val="Microsoft YaHei"/>
        <family val="2"/>
        <charset val="136"/>
      </rPr>
      <t xml:space="preserve">Địa chỉ </t>
    </r>
    <r>
      <rPr>
        <b/>
        <sz val="12"/>
        <rFont val="Noto Sans CJK SC"/>
        <family val="2"/>
      </rPr>
      <t>聯絡地址：</t>
    </r>
  </si>
  <si>
    <t>Lầu 2, số 68 Nguyễn Huệ, Phường Sài Gòn, TP Hồ Chí Minh, Việt Nam</t>
  </si>
  <si>
    <t>Tan Thuan E.P.Z, Tan Thuan Street, Tan Thuan Dong Ward, District 7, Ho Chi Minh, Tân Thuận Đông, Quận 7, Hồ Chí Minh</t>
  </si>
  <si>
    <r>
      <rPr>
        <b/>
        <sz val="12"/>
        <rFont val="Microsoft YaHei"/>
        <family val="2"/>
        <charset val="136"/>
      </rPr>
      <t>E-mail</t>
    </r>
    <r>
      <rPr>
        <b/>
        <sz val="12"/>
        <rFont val="Noto Sans CJK SC"/>
        <family val="2"/>
      </rPr>
      <t>電子郵件：</t>
    </r>
  </si>
  <si>
    <t>sales@hongming-global.com</t>
  </si>
  <si>
    <t>pur02_vn@mail.cxtechnology.com</t>
  </si>
  <si>
    <r>
      <rPr>
        <b/>
        <sz val="12"/>
        <color theme="0"/>
        <rFont val="微軟正黑體"/>
        <family val="2"/>
        <charset val="136"/>
      </rPr>
      <t xml:space="preserve">Báo giá phần cứng </t>
    </r>
    <r>
      <rPr>
        <b/>
        <sz val="12"/>
        <color theme="0"/>
        <rFont val="Noto Sans CJK SC"/>
        <family val="2"/>
      </rPr>
      <t>硬體報價訂購確認單</t>
    </r>
  </si>
  <si>
    <r>
      <t>Ngày báo giá</t>
    </r>
    <r>
      <rPr>
        <sz val="14"/>
        <rFont val="Noto Sans CJK SC"/>
        <family val="2"/>
      </rPr>
      <t>報價日期：25</t>
    </r>
    <r>
      <rPr>
        <sz val="14"/>
        <rFont val="微軟正黑體"/>
        <family val="2"/>
        <charset val="136"/>
      </rPr>
      <t>/08/2026</t>
    </r>
  </si>
  <si>
    <r>
      <rPr>
        <sz val="14"/>
        <color rgb="FF9C6500"/>
        <rFont val="Noto Sans CJK SC"/>
        <family val="2"/>
      </rPr>
      <t xml:space="preserve">※客戶確認 </t>
    </r>
    <r>
      <rPr>
        <sz val="14"/>
        <color rgb="FF9C6500"/>
        <rFont val="Arial"/>
        <family val="2"/>
        <charset val="1"/>
      </rPr>
      <t>Xác nhận khách hàng</t>
    </r>
  </si>
  <si>
    <r>
      <rPr>
        <b/>
        <sz val="12"/>
        <color theme="1"/>
        <rFont val="Noto Sans CJK SC"/>
        <family val="2"/>
      </rPr>
      <t xml:space="preserve">◆ 報價特別聲明 </t>
    </r>
    <r>
      <rPr>
        <b/>
        <sz val="12"/>
        <color theme="1"/>
        <rFont val="微軟正黑體"/>
        <family val="2"/>
        <charset val="136"/>
      </rPr>
      <t>Tuyên bố đặc biệt của báo giá :</t>
    </r>
  </si>
  <si>
    <r>
      <rPr>
        <sz val="12"/>
        <color rgb="FF9C6500"/>
        <rFont val="Arial"/>
        <family val="2"/>
        <charset val="1"/>
      </rPr>
      <t>(</t>
    </r>
    <r>
      <rPr>
        <sz val="12"/>
        <color rgb="FF9C6500"/>
        <rFont val="Noto Sans CJK SC"/>
        <family val="2"/>
      </rPr>
      <t xml:space="preserve">請簽名用印 </t>
    </r>
    <r>
      <rPr>
        <sz val="12"/>
        <color rgb="FF9C6500"/>
        <rFont val="Arial"/>
        <family val="2"/>
        <charset val="1"/>
      </rPr>
      <t>Vui lòng ký tên và đóng dấu)</t>
    </r>
  </si>
  <si>
    <r>
      <rPr>
        <b/>
        <sz val="12"/>
        <color theme="1"/>
        <rFont val="微軟正黑體"/>
        <family val="2"/>
        <charset val="136"/>
      </rPr>
      <t xml:space="preserve">1. </t>
    </r>
    <r>
      <rPr>
        <b/>
        <sz val="12"/>
        <color theme="1"/>
        <rFont val="Noto Sans CJK SC"/>
        <family val="2"/>
      </rPr>
      <t xml:space="preserve">以上報價交期：報價單簽回後，另日程安排後回覆。
    </t>
    </r>
    <r>
      <rPr>
        <b/>
        <sz val="12"/>
        <color theme="1"/>
        <rFont val="微軟正黑體"/>
        <family val="2"/>
        <charset val="136"/>
      </rPr>
      <t>Ngày giao hàng theo báo giá trên: Sau khi ký báo giá, chúng tôi sẽ trả lời sau khi sắp xếp lịch trình.</t>
    </r>
  </si>
  <si>
    <r>
      <t xml:space="preserve">2. </t>
    </r>
    <r>
      <rPr>
        <b/>
        <sz val="12"/>
        <color theme="1"/>
        <rFont val="Noto Sans CJK SC"/>
        <family val="2"/>
      </rPr>
      <t>報價有效期限：</t>
    </r>
    <r>
      <rPr>
        <b/>
        <sz val="12"/>
        <color rgb="FFFF0000"/>
        <rFont val="Noto Sans CJK SC"/>
        <family val="2"/>
      </rPr>
      <t>報價單有效期限至</t>
    </r>
    <r>
      <rPr>
        <b/>
        <sz val="12"/>
        <color rgb="FFFF0000"/>
        <rFont val="微軟正黑體"/>
        <family val="2"/>
        <charset val="136"/>
      </rPr>
      <t>2026/09/10</t>
    </r>
    <r>
      <rPr>
        <b/>
        <sz val="12"/>
        <color theme="1"/>
        <rFont val="Noto Sans CJK SC"/>
        <family val="2"/>
      </rPr>
      <t xml:space="preserve">，報價簽回視同專案確認，不可任意終止、取消本專案。
    </t>
    </r>
    <r>
      <rPr>
        <b/>
        <sz val="12"/>
        <color theme="1"/>
        <rFont val="微軟正黑體"/>
        <family val="2"/>
        <charset val="136"/>
      </rPr>
      <t xml:space="preserve">Thời hạn hiệu lực của báo giá: </t>
    </r>
    <r>
      <rPr>
        <b/>
        <sz val="12"/>
        <color rgb="FFFF0000"/>
        <rFont val="微軟正黑體"/>
      </rPr>
      <t>Báo giá có hiệu lực đến hết ngày 10/09/2026</t>
    </r>
    <r>
      <rPr>
        <b/>
        <sz val="12"/>
        <color theme="1"/>
        <rFont val="微軟正黑體"/>
        <family val="2"/>
        <charset val="136"/>
      </rPr>
      <t>. Báo giá đã ký được coi là xác nhận của dự án. Dự án không thể bị chấm dứt hoặc hủy bỏ theo ý muốn.</t>
    </r>
  </si>
  <si>
    <r>
      <rPr>
        <b/>
        <sz val="12"/>
        <color theme="1"/>
        <rFont val="微軟正黑體"/>
        <family val="2"/>
        <charset val="136"/>
      </rPr>
      <t xml:space="preserve">3. </t>
    </r>
    <r>
      <rPr>
        <b/>
        <sz val="12"/>
        <color theme="1"/>
        <rFont val="Noto Sans CJK SC"/>
        <family val="2"/>
      </rPr>
      <t xml:space="preserve">上述報價中的硬體設備自交貨日起保固六個月；因人為因素造成之碰撞、破裂、損壞等情況，不在保固範圍內
  </t>
    </r>
    <r>
      <rPr>
        <b/>
        <sz val="12"/>
        <color theme="1"/>
        <rFont val="微軟正黑體"/>
        <family val="2"/>
        <charset val="136"/>
      </rPr>
      <t>Thiết bị phần cứng trong báo giá trên được bảo hành sáu tháng kể từ ngày giao hàng; các hư hỏng do va chạm, vỡ, gãy do con người gây ra không nằm trong phạm vi bảo hành</t>
    </r>
  </si>
  <si>
    <r>
      <rPr>
        <sz val="12"/>
        <color rgb="FFFF0000"/>
        <rFont val="微軟正黑體"/>
        <family val="2"/>
        <charset val="136"/>
      </rPr>
      <t>4.</t>
    </r>
    <r>
      <rPr>
        <sz val="12"/>
        <color rgb="FFFF0000"/>
        <rFont val="Noto Sans CJK SC"/>
        <family val="2"/>
      </rPr>
      <t xml:space="preserve">以上報價不含增值稅 </t>
    </r>
    <r>
      <rPr>
        <sz val="12"/>
        <color rgb="FFFF0000"/>
        <rFont val="微軟正黑體"/>
        <family val="2"/>
        <charset val="136"/>
      </rPr>
      <t>VAT</t>
    </r>
    <r>
      <rPr>
        <sz val="12"/>
        <color rgb="FFFF0000"/>
        <rFont val="Noto Sans CJK SC"/>
        <family val="2"/>
      </rPr>
      <t xml:space="preserve">，稅率則按當時發票開出時之規定。
</t>
    </r>
    <r>
      <rPr>
        <sz val="12"/>
        <color rgb="FFFF0000"/>
        <rFont val="微軟正黑體"/>
        <family val="2"/>
        <charset val="136"/>
      </rPr>
      <t>Giá trên chưa bao gồm VAT. Thuế suất sẽ áp dụng theo quy định tại thời điểm xuất hóa đơn.</t>
    </r>
  </si>
  <si>
    <r>
      <rPr>
        <b/>
        <sz val="12"/>
        <color rgb="FF0000FF"/>
        <rFont val="微軟正黑體"/>
        <family val="2"/>
        <charset val="136"/>
      </rPr>
      <t xml:space="preserve">5. </t>
    </r>
    <r>
      <rPr>
        <b/>
        <sz val="12"/>
        <color rgb="FF0000FF"/>
        <rFont val="Noto Sans CJK SC"/>
        <family val="2"/>
      </rPr>
      <t>付款方式：預付</t>
    </r>
    <r>
      <rPr>
        <b/>
        <sz val="12"/>
        <color rgb="FF0000FF"/>
        <rFont val="微軟正黑體"/>
        <family val="2"/>
        <charset val="136"/>
      </rPr>
      <t>50%</t>
    </r>
    <r>
      <rPr>
        <b/>
        <sz val="12"/>
        <color rgb="FF0000FF"/>
        <rFont val="Noto Sans CJK SC"/>
        <family val="2"/>
      </rPr>
      <t>訂金，交貨時支付</t>
    </r>
    <r>
      <rPr>
        <b/>
        <sz val="12"/>
        <color rgb="FF0000FF"/>
        <rFont val="微軟正黑體"/>
        <family val="2"/>
        <charset val="136"/>
      </rPr>
      <t>50%</t>
    </r>
    <r>
      <rPr>
        <b/>
        <sz val="12"/>
        <color rgb="FF0000FF"/>
        <rFont val="Noto Sans CJK SC"/>
        <family val="2"/>
      </rPr>
      <t>尾款，可現金付款或銀行轉帳，付款期限</t>
    </r>
    <r>
      <rPr>
        <b/>
        <sz val="12"/>
        <color rgb="FF0000FF"/>
        <rFont val="微軟正黑體"/>
        <family val="2"/>
        <charset val="136"/>
      </rPr>
      <t>10</t>
    </r>
    <r>
      <rPr>
        <b/>
        <sz val="12"/>
        <color rgb="FF0000FF"/>
        <rFont val="Noto Sans CJK SC"/>
        <family val="2"/>
      </rPr>
      <t xml:space="preserve">天。
     </t>
    </r>
    <r>
      <rPr>
        <b/>
        <sz val="12"/>
        <color rgb="FF0000FF"/>
        <rFont val="微軟正黑體"/>
        <family val="2"/>
        <charset val="136"/>
      </rPr>
      <t xml:space="preserve">Phương thức thanh toán: Đặt cọc 50%, thanh toán 50% khi giao hàng, thanh toán bằng tiền mặt/chuyển khoản, TT10 ngày.          </t>
    </r>
  </si>
  <si>
    <r>
      <t>合約編號 S</t>
    </r>
    <r>
      <rPr>
        <sz val="18"/>
        <color theme="1"/>
        <rFont val="Calibri"/>
        <family val="2"/>
      </rPr>
      <t>ố</t>
    </r>
    <r>
      <rPr>
        <sz val="18"/>
        <color theme="1"/>
        <rFont val="Microsoft YaHei"/>
        <family val="2"/>
        <charset val="134"/>
      </rPr>
      <t xml:space="preserve"> H</t>
    </r>
    <r>
      <rPr>
        <sz val="18"/>
        <color theme="1"/>
        <rFont val="Calibri"/>
        <family val="2"/>
      </rPr>
      <t>ợ</t>
    </r>
    <r>
      <rPr>
        <sz val="18"/>
        <color theme="1"/>
        <rFont val="Microsoft YaHei"/>
        <family val="2"/>
        <charset val="134"/>
      </rPr>
      <t>p Đ</t>
    </r>
    <r>
      <rPr>
        <sz val="18"/>
        <color theme="1"/>
        <rFont val="Calibri"/>
        <family val="2"/>
      </rPr>
      <t>ồ</t>
    </r>
    <r>
      <rPr>
        <sz val="18"/>
        <color theme="1"/>
        <rFont val="Microsoft YaHei"/>
        <family val="2"/>
        <charset val="134"/>
      </rPr>
      <t>ng ：</t>
    </r>
    <r>
      <rPr>
        <b/>
        <sz val="18"/>
        <color theme="1"/>
        <rFont val="Microsoft YaHei"/>
        <family val="2"/>
      </rPr>
      <t>HM-FINEPRO-20261009.001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</si>
</sst>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VND]\ #,##0;[Red][$VND]\ #,##0"/>
    <numFmt numFmtId="165" formatCode="[$VND]\ #,##0_);\([$VND]\ #,##0\)"/>
    <numFmt numFmtId="166" formatCode="0&quot; CÁI&quot;"/>
    <numFmt numFmtId="167" formatCode="_-\$* #,##0.00_-;&quot;-$&quot;* #,##0.00_-;_-\$* \-??_-;_-@_-"/>
  </numFmts>
  <fonts count="56">
    <font>
      <sz val="11"/>
      <color theme="1"/>
      <name val="Calibri"/>
      <family val="2"/>
      <scheme val="minor"/>
    </font>
    <font>
      <b/>
      <sz val="36"/>
      <color theme="1"/>
      <name val="Microsoft YaHei"/>
      <family val="2"/>
    </font>
    <font>
      <sz val="11"/>
      <color theme="1"/>
      <name val="Microsoft YaHei"/>
      <family val="2"/>
    </font>
    <font>
      <sz val="22"/>
      <color theme="1"/>
      <name val="Microsoft YaHei"/>
      <family val="2"/>
    </font>
    <font>
      <sz val="18"/>
      <color theme="1"/>
      <name val="Microsoft YaHei"/>
      <family val="2"/>
    </font>
    <font>
      <b/>
      <sz val="20"/>
      <color theme="1"/>
      <name val="Microsoft YaHei"/>
      <family val="2"/>
    </font>
    <font>
      <sz val="9"/>
      <name val="Calibri"/>
      <family val="3"/>
      <charset val="136"/>
      <scheme val="minor"/>
    </font>
    <font>
      <b/>
      <sz val="26"/>
      <color theme="1"/>
      <name val="Microsoft YaHei"/>
      <family val="2"/>
    </font>
    <font>
      <b/>
      <u/>
      <sz val="26"/>
      <color theme="1"/>
      <name val="Microsoft YaHei"/>
      <family val="2"/>
    </font>
    <font>
      <b/>
      <sz val="18"/>
      <color theme="1"/>
      <name val="Microsoft YaHei"/>
      <family val="2"/>
    </font>
    <font>
      <sz val="18"/>
      <color theme="1"/>
      <name val="Calibri"/>
      <family val="2"/>
    </font>
    <font>
      <sz val="18"/>
      <color theme="1"/>
      <name val="Microsoft YaHei"/>
      <family val="2"/>
      <charset val="134"/>
    </font>
    <font>
      <sz val="12"/>
      <name val="新細明體"/>
      <family val="1"/>
      <charset val="136"/>
    </font>
    <font>
      <b/>
      <sz val="18"/>
      <color rgb="FFFF0000"/>
      <name val="Microsoft YaHei"/>
      <family val="2"/>
    </font>
    <font>
      <b/>
      <sz val="16"/>
      <name val="微軟正黑體"/>
      <family val="2"/>
      <charset val="136"/>
    </font>
    <font>
      <b/>
      <sz val="16"/>
      <color rgb="FF000000"/>
      <name val="微軟正黑體"/>
      <family val="2"/>
      <charset val="136"/>
    </font>
    <font>
      <b/>
      <sz val="16"/>
      <color rgb="FF000000"/>
      <name val="Noto Sans CJK SC"/>
      <family val="2"/>
    </font>
    <font>
      <sz val="12"/>
      <name val="Arial"/>
      <family val="2"/>
      <charset val="1"/>
    </font>
    <font>
      <sz val="14"/>
      <color rgb="FF1F1F1F"/>
      <name val="Calibri"/>
      <family val="2"/>
      <charset val="1"/>
    </font>
    <font>
      <sz val="14"/>
      <color theme="1"/>
      <name val="Times New Roman"/>
      <family val="1"/>
      <charset val="163"/>
    </font>
    <font>
      <sz val="14"/>
      <name val="Times New Roman"/>
      <family val="1"/>
      <charset val="163"/>
    </font>
    <font>
      <sz val="14"/>
      <name val="Noto Sans CJK SC"/>
      <family val="2"/>
    </font>
    <font>
      <sz val="14"/>
      <name val="Calibri"/>
      <family val="2"/>
      <charset val="1"/>
    </font>
    <font>
      <sz val="14"/>
      <name val="Arial"/>
      <family val="2"/>
      <charset val="1"/>
    </font>
    <font>
      <sz val="14"/>
      <name val="微軟正黑體"/>
      <family val="2"/>
      <charset val="136"/>
    </font>
    <font>
      <b/>
      <sz val="12"/>
      <color rgb="FF0000FF"/>
      <name val="Noto Sans CJK SC"/>
      <family val="2"/>
    </font>
    <font>
      <b/>
      <sz val="12"/>
      <color rgb="FF0000FF"/>
      <name val="微軟正黑體"/>
      <family val="2"/>
      <charset val="136"/>
    </font>
    <font>
      <b/>
      <sz val="14"/>
      <color rgb="FFFF0000"/>
      <name val="Arial"/>
      <family val="2"/>
      <charset val="1"/>
    </font>
    <font>
      <b/>
      <sz val="14"/>
      <color rgb="FFFF0000"/>
      <name val="Noto Sans CJK SC"/>
      <family val="2"/>
    </font>
    <font>
      <b/>
      <sz val="14"/>
      <name val="Arial"/>
      <family val="2"/>
      <charset val="1"/>
    </font>
    <font>
      <u/>
      <sz val="11"/>
      <color theme="10"/>
      <name val="Calibri"/>
      <family val="2"/>
      <scheme val="minor"/>
    </font>
    <font>
      <sz val="12"/>
      <name val="Arial"/>
      <family val="2"/>
      <charset val="136"/>
    </font>
    <font>
      <sz val="11"/>
      <color rgb="FF9C6500"/>
      <name val="Calibri"/>
      <family val="1"/>
      <charset val="136"/>
    </font>
    <font>
      <b/>
      <sz val="12"/>
      <color theme="0"/>
      <name val="微軟正黑體"/>
      <family val="2"/>
      <charset val="136"/>
    </font>
    <font>
      <b/>
      <sz val="12"/>
      <color theme="0"/>
      <name val="Noto Sans CJK SC"/>
      <family val="2"/>
    </font>
    <font>
      <b/>
      <sz val="12"/>
      <name val="Microsoft YaHei"/>
      <family val="2"/>
      <charset val="136"/>
    </font>
    <font>
      <b/>
      <sz val="12"/>
      <name val="Noto Sans CJK SC"/>
      <family val="2"/>
    </font>
    <font>
      <sz val="12"/>
      <name val="Microsoft YaHei"/>
      <family val="2"/>
      <charset val="136"/>
    </font>
    <font>
      <sz val="12"/>
      <name val="Noto Sans CJK SC"/>
      <family val="2"/>
    </font>
    <font>
      <u/>
      <sz val="12"/>
      <color rgb="FF0000FF"/>
      <name val="Microsoft YaHei"/>
      <family val="2"/>
      <charset val="136"/>
    </font>
    <font>
      <sz val="12"/>
      <name val="微軟正黑體"/>
      <family val="2"/>
      <charset val="136"/>
    </font>
    <font>
      <sz val="14"/>
      <color rgb="FF9C6500"/>
      <name val="Noto Sans CJK SC"/>
      <family val="2"/>
    </font>
    <font>
      <sz val="14"/>
      <color rgb="FF9C6500"/>
      <name val="Arial"/>
      <family val="2"/>
      <charset val="1"/>
    </font>
    <font>
      <sz val="11"/>
      <color rgb="FF9C6500"/>
      <name val="Arial"/>
      <family val="2"/>
      <charset val="1"/>
    </font>
    <font>
      <sz val="10"/>
      <color rgb="FF9C6500"/>
      <name val="Arial"/>
      <family val="2"/>
      <charset val="1"/>
    </font>
    <font>
      <b/>
      <sz val="12"/>
      <color theme="1"/>
      <name val="Noto Sans CJK SC"/>
      <family val="2"/>
    </font>
    <font>
      <b/>
      <sz val="12"/>
      <color theme="1"/>
      <name val="微軟正黑體"/>
      <family val="2"/>
      <charset val="136"/>
    </font>
    <font>
      <sz val="12"/>
      <color rgb="FF9C6500"/>
      <name val="微軟正黑體"/>
      <family val="2"/>
      <charset val="136"/>
    </font>
    <font>
      <sz val="12"/>
      <color rgb="FF9C6500"/>
      <name val="Arial"/>
      <family val="2"/>
      <charset val="1"/>
    </font>
    <font>
      <sz val="12"/>
      <color rgb="FF9C6500"/>
      <name val="Noto Sans CJK SC"/>
      <family val="2"/>
    </font>
    <font>
      <sz val="11"/>
      <name val="Arial"/>
      <family val="2"/>
      <charset val="1"/>
    </font>
    <font>
      <b/>
      <sz val="12"/>
      <color rgb="FFFF0000"/>
      <name val="Noto Sans CJK SC"/>
      <family val="2"/>
    </font>
    <font>
      <b/>
      <sz val="12"/>
      <color rgb="FFFF0000"/>
      <name val="微軟正黑體"/>
      <family val="2"/>
      <charset val="136"/>
    </font>
    <font>
      <b/>
      <sz val="12"/>
      <color rgb="FFFF0000"/>
      <name val="微軟正黑體"/>
    </font>
    <font>
      <sz val="12"/>
      <color rgb="FFFF0000"/>
      <name val="微軟正黑體"/>
      <family val="2"/>
      <charset val="136"/>
    </font>
    <font>
      <sz val="12"/>
      <color rgb="FFFF0000"/>
      <name val="Noto Sans CJK SC"/>
      <family val="2"/>
    </font>
  </fonts>
  <fills count="10">
    <fill>
      <patternFill patternType="none"/>
    </fill>
    <fill>
      <patternFill patternType="gray125"/>
    </fill>
    <fill>
      <patternFill patternType="solid">
        <fgColor theme="0"/>
        <bgColor indexed="64"/>
      </patternFill>
    </fill>
    <fill>
      <patternFill patternType="solid">
        <fgColor theme="2"/>
        <bgColor rgb="FFFFFFFF"/>
      </patternFill>
    </fill>
    <fill>
      <patternFill patternType="solid">
        <fgColor theme="0"/>
        <bgColor rgb="FFEEECE1"/>
      </patternFill>
    </fill>
    <fill>
      <patternFill patternType="solid">
        <fgColor rgb="FFFFFF00"/>
        <bgColor rgb="FFFFFF00"/>
      </patternFill>
    </fill>
    <fill>
      <patternFill patternType="solid">
        <fgColor rgb="FFFFEB9C"/>
        <bgColor rgb="FFFFCC99"/>
      </patternFill>
    </fill>
    <fill>
      <patternFill patternType="solid">
        <fgColor theme="3" tint="-0.249977111117893"/>
        <bgColor rgb="FF215968"/>
      </patternFill>
    </fill>
    <fill>
      <patternFill patternType="solid">
        <fgColor theme="9" tint="-0.499984740745262"/>
        <bgColor rgb="FF9C6500"/>
      </patternFill>
    </fill>
    <fill>
      <patternFill patternType="solid">
        <fgColor theme="1"/>
        <bgColor rgb="FF1F1F1F"/>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0" tint="-0.499984740745262"/>
      </left>
      <right style="thin">
        <color theme="0" tint="-0.499984740745262"/>
      </right>
      <top style="thin">
        <color theme="0" tint="-0.499984740745262"/>
      </top>
      <bottom/>
      <diagonal/>
    </border>
    <border>
      <left style="medium">
        <color auto="1"/>
      </left>
      <right style="thin">
        <color auto="1"/>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style="medium">
        <color theme="0" tint="-0.499984740745262"/>
      </left>
      <right style="medium">
        <color theme="0" tint="-0.499984740745262"/>
      </right>
      <top style="thin">
        <color indexed="64"/>
      </top>
      <bottom/>
      <diagonal/>
    </border>
    <border>
      <left style="medium">
        <color auto="1"/>
      </left>
      <right/>
      <top style="medium">
        <color auto="1"/>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4">
    <xf numFmtId="0" fontId="0" fillId="0" borderId="0"/>
    <xf numFmtId="0" fontId="12" fillId="0" borderId="0"/>
    <xf numFmtId="0" fontId="30" fillId="0" borderId="0" applyNumberFormat="0" applyFill="0" applyBorder="0" applyAlignment="0" applyProtection="0"/>
    <xf numFmtId="0" fontId="32" fillId="6" borderId="0">
      <alignment vertical="center"/>
    </xf>
  </cellStyleXfs>
  <cellXfs count="85">
    <xf numFmtId="0" fontId="0" fillId="0" borderId="0" xfId="0"/>
    <xf numFmtId="0" fontId="2" fillId="0" borderId="0" xfId="0" applyFont="1" applyAlignment="1">
      <alignment horizontal="center" vertical="center"/>
    </xf>
    <xf numFmtId="0" fontId="2" fillId="0" borderId="0" xfId="0" applyFont="1" applyAlignment="1">
      <alignment horizontal="left" vertical="top"/>
    </xf>
    <xf numFmtId="0" fontId="3" fillId="0" borderId="0" xfId="0" applyFont="1" applyAlignment="1">
      <alignment vertical="top"/>
    </xf>
    <xf numFmtId="0" fontId="5" fillId="0" borderId="0" xfId="0" applyFont="1" applyAlignment="1">
      <alignment vertical="center"/>
    </xf>
    <xf numFmtId="0" fontId="7" fillId="0" borderId="0" xfId="0" applyFont="1" applyAlignment="1">
      <alignment horizontal="center" vertical="center"/>
    </xf>
    <xf numFmtId="0" fontId="9" fillId="0" borderId="0" xfId="0" applyFont="1" applyAlignment="1">
      <alignment horizontal="left" vertical="center"/>
    </xf>
    <xf numFmtId="0" fontId="4" fillId="0" borderId="0" xfId="0" applyFont="1" applyAlignment="1">
      <alignment vertical="center"/>
    </xf>
    <xf numFmtId="0" fontId="14" fillId="3" borderId="3"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7" fillId="0" borderId="0" xfId="0" applyFont="1" applyAlignment="1">
      <alignment vertical="center"/>
    </xf>
    <xf numFmtId="0" fontId="18" fillId="0" borderId="1" xfId="0" applyFont="1" applyBorder="1" applyAlignment="1">
      <alignment horizontal="center" vertical="center" wrapText="1" readingOrder="1"/>
    </xf>
    <xf numFmtId="0" fontId="19" fillId="4"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2" fillId="4" borderId="1" xfId="1" applyFont="1" applyFill="1" applyBorder="1" applyAlignment="1">
      <alignment horizontal="center" vertical="center"/>
    </xf>
    <xf numFmtId="166" fontId="22" fillId="4" borderId="1" xfId="0" applyNumberFormat="1" applyFont="1" applyFill="1" applyBorder="1" applyAlignment="1">
      <alignment horizontal="center" vertical="center" wrapText="1"/>
    </xf>
    <xf numFmtId="164" fontId="22" fillId="0" borderId="1" xfId="1" applyNumberFormat="1" applyFont="1" applyBorder="1" applyAlignment="1">
      <alignment vertical="center"/>
    </xf>
    <xf numFmtId="0" fontId="23" fillId="0" borderId="0" xfId="1" applyFont="1" applyAlignment="1">
      <alignment vertical="center"/>
    </xf>
    <xf numFmtId="0" fontId="20" fillId="4" borderId="1" xfId="1" applyFont="1" applyFill="1" applyBorder="1" applyAlignment="1">
      <alignment horizontal="center" vertical="center" wrapText="1"/>
    </xf>
    <xf numFmtId="164" fontId="22" fillId="2" borderId="1" xfId="1" applyNumberFormat="1" applyFont="1" applyFill="1" applyBorder="1" applyAlignment="1">
      <alignment vertical="center"/>
    </xf>
    <xf numFmtId="0" fontId="26" fillId="0" borderId="6" xfId="0" applyFont="1" applyBorder="1" applyAlignment="1">
      <alignment vertical="center" wrapText="1"/>
    </xf>
    <xf numFmtId="0" fontId="27" fillId="5" borderId="6" xfId="0" applyFont="1" applyFill="1" applyBorder="1" applyAlignment="1">
      <alignment horizontal="center" vertical="center" wrapText="1"/>
    </xf>
    <xf numFmtId="165" fontId="29" fillId="0" borderId="7" xfId="0" applyNumberFormat="1" applyFont="1" applyBorder="1" applyAlignment="1">
      <alignment horizontal="center" vertical="center"/>
    </xf>
    <xf numFmtId="0" fontId="13" fillId="2" borderId="0" xfId="0" applyFont="1" applyFill="1" applyAlignment="1">
      <alignment horizontal="center" vertical="center" wrapText="1"/>
    </xf>
    <xf numFmtId="165" fontId="29" fillId="0" borderId="0" xfId="0" applyNumberFormat="1" applyFont="1" applyAlignment="1">
      <alignment horizontal="center" vertical="center"/>
    </xf>
    <xf numFmtId="0" fontId="2" fillId="0" borderId="2" xfId="0" applyFont="1" applyBorder="1" applyAlignment="1">
      <alignment horizontal="center" vertical="center"/>
    </xf>
    <xf numFmtId="0" fontId="26" fillId="0" borderId="0" xfId="0" applyFont="1" applyAlignment="1">
      <alignment vertical="center" wrapText="1"/>
    </xf>
    <xf numFmtId="0" fontId="27" fillId="5" borderId="0" xfId="0" applyFont="1" applyFill="1" applyAlignment="1">
      <alignment horizontal="center" vertical="center" wrapText="1"/>
    </xf>
    <xf numFmtId="0" fontId="23" fillId="2" borderId="0" xfId="1" applyFont="1" applyFill="1" applyAlignment="1">
      <alignment vertical="center"/>
    </xf>
    <xf numFmtId="0" fontId="25" fillId="0" borderId="8" xfId="0" applyFont="1" applyBorder="1" applyAlignment="1">
      <alignment vertical="center" wrapText="1"/>
    </xf>
    <xf numFmtId="0" fontId="25" fillId="0" borderId="9" xfId="0" applyFont="1" applyBorder="1" applyAlignment="1">
      <alignment horizontal="center" vertical="center" wrapText="1"/>
    </xf>
    <xf numFmtId="0" fontId="31" fillId="0" borderId="0" xfId="0" applyFont="1" applyAlignment="1">
      <alignment vertical="center"/>
    </xf>
    <xf numFmtId="0" fontId="31" fillId="0" borderId="0" xfId="0" applyFont="1" applyAlignment="1">
      <alignment horizontal="left" vertical="center"/>
    </xf>
    <xf numFmtId="0" fontId="35" fillId="0" borderId="0" xfId="0" applyFont="1" applyAlignment="1">
      <alignment horizontal="left" vertical="center"/>
    </xf>
    <xf numFmtId="0" fontId="37" fillId="0" borderId="0" xfId="0" applyFont="1" applyAlignment="1">
      <alignment vertical="center"/>
    </xf>
    <xf numFmtId="0" fontId="38" fillId="0" borderId="0" xfId="0" applyFont="1" applyAlignment="1">
      <alignment vertical="center"/>
    </xf>
    <xf numFmtId="49" fontId="37" fillId="0" borderId="0" xfId="0" applyNumberFormat="1" applyFont="1" applyAlignment="1">
      <alignment horizontal="left" vertical="center"/>
    </xf>
    <xf numFmtId="0" fontId="37" fillId="0" borderId="0" xfId="0" applyFont="1" applyAlignment="1">
      <alignment vertical="center" wrapText="1"/>
    </xf>
    <xf numFmtId="0" fontId="39" fillId="0" borderId="0" xfId="2" applyFont="1" applyAlignment="1" applyProtection="1">
      <alignment vertical="center"/>
    </xf>
    <xf numFmtId="0" fontId="31" fillId="0" borderId="0" xfId="0" applyFont="1" applyAlignment="1">
      <alignment horizontal="center" vertical="center"/>
    </xf>
    <xf numFmtId="0" fontId="24" fillId="0" borderId="11" xfId="0" applyFont="1" applyBorder="1" applyAlignment="1">
      <alignment horizontal="left" vertical="center"/>
    </xf>
    <xf numFmtId="0" fontId="40" fillId="0" borderId="12" xfId="0" applyFont="1" applyBorder="1" applyAlignment="1">
      <alignment horizontal="left" vertical="center"/>
    </xf>
    <xf numFmtId="0" fontId="40" fillId="0" borderId="12" xfId="0" applyFont="1" applyBorder="1" applyAlignment="1">
      <alignment vertical="center"/>
    </xf>
    <xf numFmtId="0" fontId="40" fillId="0" borderId="12" xfId="0" applyFont="1" applyBorder="1" applyAlignment="1">
      <alignment horizontal="center" vertical="center"/>
    </xf>
    <xf numFmtId="0" fontId="40" fillId="0" borderId="13" xfId="0" applyFont="1" applyBorder="1" applyAlignment="1">
      <alignment horizontal="center" vertical="center"/>
    </xf>
    <xf numFmtId="0" fontId="41" fillId="3" borderId="8" xfId="3" applyFont="1" applyFill="1" applyBorder="1">
      <alignment vertical="center"/>
    </xf>
    <xf numFmtId="0" fontId="43" fillId="3" borderId="0" xfId="3" applyFont="1" applyFill="1">
      <alignment vertical="center"/>
    </xf>
    <xf numFmtId="0" fontId="44" fillId="3" borderId="0" xfId="3" applyFont="1" applyFill="1" applyAlignment="1">
      <alignment horizontal="left" vertical="center" wrapText="1"/>
    </xf>
    <xf numFmtId="0" fontId="45" fillId="3" borderId="0" xfId="3" applyFont="1" applyFill="1">
      <alignment vertical="center"/>
    </xf>
    <xf numFmtId="0" fontId="47" fillId="3" borderId="0" xfId="3" applyFont="1" applyFill="1">
      <alignment vertical="center"/>
    </xf>
    <xf numFmtId="0" fontId="47" fillId="3" borderId="14" xfId="3" applyFont="1" applyFill="1" applyBorder="1">
      <alignment vertical="center"/>
    </xf>
    <xf numFmtId="0" fontId="48" fillId="3" borderId="8" xfId="3" applyFont="1" applyFill="1" applyBorder="1" applyAlignment="1">
      <alignment vertical="top"/>
    </xf>
    <xf numFmtId="0" fontId="43" fillId="3" borderId="0" xfId="3" applyFont="1" applyFill="1" applyAlignment="1">
      <alignment vertical="top"/>
    </xf>
    <xf numFmtId="0" fontId="50" fillId="3" borderId="8" xfId="3" applyFont="1" applyFill="1" applyBorder="1" applyAlignment="1">
      <alignment horizontal="center" vertical="center"/>
    </xf>
    <xf numFmtId="0" fontId="43" fillId="3" borderId="0" xfId="3" applyFont="1" applyFill="1" applyAlignment="1">
      <alignment horizontal="left" vertical="center"/>
    </xf>
    <xf numFmtId="0" fontId="50" fillId="3" borderId="15" xfId="3" applyFont="1" applyFill="1" applyBorder="1" applyAlignment="1">
      <alignment horizontal="center" vertical="center"/>
    </xf>
    <xf numFmtId="0" fontId="43" fillId="3" borderId="16" xfId="3" applyFont="1" applyFill="1" applyBorder="1" applyAlignment="1">
      <alignment horizontal="left" vertical="center"/>
    </xf>
    <xf numFmtId="0" fontId="43" fillId="3" borderId="16" xfId="3" applyFont="1" applyFill="1" applyBorder="1">
      <alignment vertical="center"/>
    </xf>
    <xf numFmtId="0" fontId="17" fillId="0" borderId="0" xfId="0" applyFont="1" applyAlignment="1">
      <alignment horizontal="left" vertical="center"/>
    </xf>
    <xf numFmtId="167" fontId="17" fillId="0" borderId="0" xfId="0" applyNumberFormat="1" applyFont="1" applyAlignment="1">
      <alignment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1" fillId="0" borderId="0" xfId="0" applyFont="1" applyAlignment="1">
      <alignment horizontal="center" vertical="center"/>
    </xf>
    <xf numFmtId="0" fontId="8" fillId="0" borderId="0" xfId="0" applyFont="1" applyAlignment="1">
      <alignment horizontal="center" vertical="center"/>
    </xf>
    <xf numFmtId="0" fontId="4" fillId="0" borderId="0" xfId="0" applyFont="1" applyAlignment="1">
      <alignment horizontal="left" vertical="center"/>
    </xf>
    <xf numFmtId="0" fontId="4" fillId="0" borderId="2" xfId="0" applyFont="1" applyBorder="1" applyAlignment="1">
      <alignment horizontal="left" vertical="center"/>
    </xf>
    <xf numFmtId="0" fontId="21"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46" fillId="3" borderId="14" xfId="3" applyFont="1" applyFill="1" applyBorder="1" applyAlignment="1">
      <alignment horizontal="left" vertical="center" wrapText="1"/>
    </xf>
    <xf numFmtId="0" fontId="54" fillId="3" borderId="14" xfId="0" applyFont="1" applyFill="1" applyBorder="1" applyAlignment="1">
      <alignment horizontal="left" vertical="center" wrapText="1"/>
    </xf>
    <xf numFmtId="0" fontId="26" fillId="3" borderId="17" xfId="3" applyFont="1" applyFill="1" applyBorder="1" applyAlignment="1">
      <alignment horizontal="left" vertical="center" wrapText="1"/>
    </xf>
    <xf numFmtId="0" fontId="35" fillId="0" borderId="0" xfId="0" applyFont="1" applyAlignment="1">
      <alignment horizontal="center" vertical="center"/>
    </xf>
    <xf numFmtId="0" fontId="39" fillId="0" borderId="0" xfId="2" applyFont="1" applyAlignment="1" applyProtection="1">
      <alignment horizontal="left" vertical="center"/>
    </xf>
    <xf numFmtId="0" fontId="31" fillId="0" borderId="0" xfId="0" applyFont="1" applyAlignment="1">
      <alignment horizontal="center" vertical="center"/>
    </xf>
    <xf numFmtId="0" fontId="33" fillId="9" borderId="10" xfId="3" applyFont="1" applyFill="1" applyBorder="1" applyAlignment="1">
      <alignment horizontal="center" vertical="center"/>
    </xf>
    <xf numFmtId="0" fontId="21" fillId="0" borderId="4" xfId="0" applyFont="1" applyBorder="1" applyAlignment="1">
      <alignment horizontal="center" vertical="center" wrapText="1"/>
    </xf>
    <xf numFmtId="0" fontId="25" fillId="0" borderId="5" xfId="0" applyFont="1" applyBorder="1" applyAlignment="1">
      <alignment horizontal="center" vertical="center" wrapText="1"/>
    </xf>
    <xf numFmtId="49" fontId="37" fillId="0" borderId="0" xfId="0" applyNumberFormat="1" applyFont="1" applyAlignment="1">
      <alignment horizontal="left" vertical="center"/>
    </xf>
    <xf numFmtId="0" fontId="37" fillId="0" borderId="0" xfId="0" applyFont="1" applyAlignment="1">
      <alignment horizontal="left" vertical="center" wrapText="1"/>
    </xf>
    <xf numFmtId="0" fontId="33" fillId="7" borderId="0" xfId="3" applyFont="1" applyFill="1" applyAlignment="1">
      <alignment horizontal="center" vertical="center" wrapText="1"/>
    </xf>
    <xf numFmtId="0" fontId="33" fillId="8" borderId="0" xfId="3" applyFont="1" applyFill="1" applyAlignment="1">
      <alignment horizontal="center" vertical="center" wrapText="1"/>
    </xf>
    <xf numFmtId="0" fontId="37" fillId="0" borderId="0" xfId="0" applyFont="1" applyAlignment="1">
      <alignment horizontal="left" vertical="center"/>
    </xf>
    <xf numFmtId="0" fontId="38" fillId="0" borderId="0" xfId="0" applyFont="1" applyAlignment="1">
      <alignment horizontal="left" vertical="center"/>
    </xf>
    <xf numFmtId="0" fontId="2" fillId="0" borderId="2" xfId="0" applyFont="1" applyBorder="1" applyAlignment="1">
      <alignment horizontal="left" vertical="top"/>
    </xf>
  </cellXfs>
  <cellStyles count="4">
    <cellStyle name="Excel Built-in Neutral" xfId="3" xr:uid="{0A11E566-A1EB-4BAE-813B-82C61D11FBD4}"/>
    <cellStyle name="Hyperlink" xfId="2" builtinId="8"/>
    <cellStyle name="Normal" xfId="0" builtinId="0"/>
    <cellStyle name="一般 2" xfId="1" xr:uid="{3C324807-6284-43F2-8930-59E09E84DE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55748</xdr:colOff>
      <xdr:row>2</xdr:row>
      <xdr:rowOff>111661</xdr:rowOff>
    </xdr:from>
    <xdr:to>
      <xdr:col>1</xdr:col>
      <xdr:colOff>2032207</xdr:colOff>
      <xdr:row>4</xdr:row>
      <xdr:rowOff>461817</xdr:rowOff>
    </xdr:to>
    <xdr:pic>
      <xdr:nvPicPr>
        <xdr:cNvPr id="6" name="圖片 1">
          <a:extLst>
            <a:ext uri="{FF2B5EF4-FFF2-40B4-BE49-F238E27FC236}">
              <a16:creationId xmlns:a16="http://schemas.microsoft.com/office/drawing/2014/main" id="{9531274A-B554-4492-9561-EBB0BEA08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48" y="527297"/>
          <a:ext cx="3015550" cy="1192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87190</xdr:colOff>
      <xdr:row>0</xdr:row>
      <xdr:rowOff>182441</xdr:rowOff>
    </xdr:from>
    <xdr:to>
      <xdr:col>1</xdr:col>
      <xdr:colOff>2179030</xdr:colOff>
      <xdr:row>5</xdr:row>
      <xdr:rowOff>777876</xdr:rowOff>
    </xdr:to>
    <xdr:pic>
      <xdr:nvPicPr>
        <xdr:cNvPr id="2" name="圖片 4">
          <a:extLst>
            <a:ext uri="{FF2B5EF4-FFF2-40B4-BE49-F238E27FC236}">
              <a16:creationId xmlns:a16="http://schemas.microsoft.com/office/drawing/2014/main" id="{ED977D17-E155-414C-B856-C334F8B8DA67}"/>
            </a:ext>
          </a:extLst>
        </xdr:cNvPr>
        <xdr:cNvPicPr/>
      </xdr:nvPicPr>
      <xdr:blipFill>
        <a:blip xmlns:r="http://schemas.openxmlformats.org/officeDocument/2006/relationships" r:embed="rId1"/>
        <a:stretch/>
      </xdr:blipFill>
      <xdr:spPr>
        <a:xfrm>
          <a:off x="87190" y="182441"/>
          <a:ext cx="2679215" cy="1627310"/>
        </a:xfrm>
        <a:prstGeom prst="rect">
          <a:avLst/>
        </a:prstGeom>
        <a:ln w="0">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lucy@mail.cxtechnolog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I26"/>
  <sheetViews>
    <sheetView showGridLines="0" tabSelected="1" view="pageBreakPreview" zoomScale="40" zoomScaleNormal="55" zoomScaleSheetLayoutView="40" workbookViewId="0">
      <pane ySplit="10" topLeftCell="A11" activePane="bottomLeft" state="frozen"/>
      <selection pane="bottomLeft" activeCell="V21" sqref="V21"/>
    </sheetView>
  </sheetViews>
  <sheetFormatPr defaultColWidth="8.90625" defaultRowHeight="16.5"/>
  <cols>
    <col min="1" max="1" width="14.90625" style="1" customWidth="1"/>
    <col min="2" max="2" width="44" style="1" customWidth="1"/>
    <col min="3" max="3" width="44.08984375" style="1" customWidth="1"/>
    <col min="4" max="5" width="19.36328125" style="1" customWidth="1"/>
    <col min="6" max="6" width="12.7265625" style="2" customWidth="1"/>
    <col min="7" max="7" width="17.6328125" style="1" bestFit="1" customWidth="1"/>
    <col min="8" max="8" width="21.26953125" style="1" bestFit="1" customWidth="1"/>
    <col min="9" max="16384" width="8.90625" style="1"/>
  </cols>
  <sheetData>
    <row r="3" spans="1:9" ht="50.4" customHeight="1">
      <c r="A3" s="62" t="s">
        <v>2</v>
      </c>
      <c r="B3" s="62"/>
      <c r="C3" s="62"/>
      <c r="D3" s="62"/>
      <c r="E3" s="62"/>
      <c r="F3" s="62"/>
    </row>
    <row r="5" spans="1:9" ht="49.25" customHeight="1">
      <c r="A5" s="63" t="s">
        <v>6</v>
      </c>
      <c r="B5" s="63"/>
      <c r="C5" s="63"/>
      <c r="D5" s="63"/>
      <c r="E5" s="63"/>
      <c r="F5" s="63"/>
    </row>
    <row r="6" spans="1:9" ht="39.65" customHeight="1">
      <c r="A6" s="60" t="s">
        <v>3</v>
      </c>
      <c r="B6" s="60"/>
      <c r="C6" s="60"/>
      <c r="D6" s="60"/>
      <c r="E6" s="60"/>
      <c r="F6" s="60"/>
    </row>
    <row r="7" spans="1:9" ht="39.65" customHeight="1">
      <c r="A7" s="5"/>
      <c r="B7" s="5"/>
      <c r="C7" s="5"/>
      <c r="D7" s="5"/>
      <c r="E7" s="5"/>
      <c r="F7" s="5"/>
    </row>
    <row r="8" spans="1:9" ht="24.65" customHeight="1">
      <c r="A8" s="7" t="s">
        <v>67</v>
      </c>
      <c r="B8" s="7"/>
      <c r="C8" s="6"/>
      <c r="D8" s="6"/>
      <c r="E8" s="6"/>
      <c r="F8" s="6"/>
    </row>
    <row r="9" spans="1:9" ht="27.65" customHeight="1">
      <c r="A9" s="64" t="s">
        <v>7</v>
      </c>
      <c r="B9" s="64"/>
      <c r="C9" s="64"/>
      <c r="D9" s="64"/>
      <c r="E9" s="64"/>
      <c r="F9" s="64"/>
    </row>
    <row r="10" spans="1:9" ht="27.65" customHeight="1">
      <c r="A10" s="65" t="s">
        <v>5</v>
      </c>
      <c r="B10" s="65"/>
      <c r="C10" s="65"/>
      <c r="D10" s="65"/>
      <c r="E10" s="65"/>
      <c r="F10" s="65"/>
    </row>
    <row r="11" spans="1:9" s="10" customFormat="1" ht="75.75" customHeight="1">
      <c r="A11" s="8" t="s">
        <v>9</v>
      </c>
      <c r="B11" s="9" t="s">
        <v>10</v>
      </c>
      <c r="C11" s="9" t="s">
        <v>11</v>
      </c>
      <c r="D11" s="9" t="s">
        <v>12</v>
      </c>
      <c r="E11" s="9" t="s">
        <v>13</v>
      </c>
      <c r="F11" s="9" t="s">
        <v>14</v>
      </c>
      <c r="G11" s="9" t="s">
        <v>16</v>
      </c>
      <c r="H11" s="9" t="s">
        <v>17</v>
      </c>
    </row>
    <row r="12" spans="1:9" s="17" customFormat="1" ht="37.5" customHeight="1">
      <c r="A12" s="11">
        <v>1</v>
      </c>
      <c r="B12" s="12" t="s">
        <v>18</v>
      </c>
      <c r="C12" s="13" t="s">
        <v>19</v>
      </c>
      <c r="D12" s="14" t="s">
        <v>20</v>
      </c>
      <c r="E12" s="14" t="s">
        <v>21</v>
      </c>
      <c r="F12" s="15">
        <v>1</v>
      </c>
      <c r="G12" s="16">
        <v>550000</v>
      </c>
      <c r="H12" s="16">
        <f t="shared" ref="H12:H17" si="0">G12</f>
        <v>550000</v>
      </c>
    </row>
    <row r="13" spans="1:9" s="17" customFormat="1" ht="37.5" customHeight="1">
      <c r="A13" s="11">
        <v>2</v>
      </c>
      <c r="B13" s="12" t="s">
        <v>23</v>
      </c>
      <c r="C13" s="18" t="s">
        <v>24</v>
      </c>
      <c r="D13" s="14" t="s">
        <v>20</v>
      </c>
      <c r="E13" s="14" t="s">
        <v>25</v>
      </c>
      <c r="F13" s="15">
        <v>1</v>
      </c>
      <c r="G13" s="19">
        <v>8000000</v>
      </c>
      <c r="H13" s="16">
        <f t="shared" si="0"/>
        <v>8000000</v>
      </c>
      <c r="I13" s="28"/>
    </row>
    <row r="14" spans="1:9" s="17" customFormat="1" ht="37.5" customHeight="1">
      <c r="A14" s="11">
        <v>3</v>
      </c>
      <c r="B14" s="12" t="s">
        <v>26</v>
      </c>
      <c r="C14" s="13" t="s">
        <v>19</v>
      </c>
      <c r="D14" s="14" t="s">
        <v>20</v>
      </c>
      <c r="E14" s="14" t="s">
        <v>27</v>
      </c>
      <c r="F14" s="15">
        <v>1</v>
      </c>
      <c r="G14" s="19">
        <v>3500000</v>
      </c>
      <c r="H14" s="16">
        <f t="shared" si="0"/>
        <v>3500000</v>
      </c>
      <c r="I14" s="28"/>
    </row>
    <row r="15" spans="1:9" s="17" customFormat="1" ht="37.5" customHeight="1">
      <c r="A15" s="11">
        <v>4</v>
      </c>
      <c r="B15" s="12" t="s">
        <v>28</v>
      </c>
      <c r="C15" s="13" t="s">
        <v>29</v>
      </c>
      <c r="D15" s="14" t="s">
        <v>30</v>
      </c>
      <c r="E15" s="14" t="s">
        <v>21</v>
      </c>
      <c r="F15" s="15">
        <v>1</v>
      </c>
      <c r="G15" s="16">
        <v>550000</v>
      </c>
      <c r="H15" s="16">
        <f t="shared" si="0"/>
        <v>550000</v>
      </c>
    </row>
    <row r="16" spans="1:9" s="17" customFormat="1" ht="37.5" customHeight="1">
      <c r="A16" s="11">
        <v>5</v>
      </c>
      <c r="B16" s="12" t="s">
        <v>31</v>
      </c>
      <c r="C16" s="13" t="s">
        <v>29</v>
      </c>
      <c r="D16" s="14" t="s">
        <v>30</v>
      </c>
      <c r="E16" s="14" t="s">
        <v>21</v>
      </c>
      <c r="F16" s="15">
        <v>1</v>
      </c>
      <c r="G16" s="16">
        <v>550000</v>
      </c>
      <c r="H16" s="16">
        <f t="shared" si="0"/>
        <v>550000</v>
      </c>
    </row>
    <row r="17" spans="1:8" s="17" customFormat="1" ht="37.5" customHeight="1">
      <c r="A17" s="11">
        <v>6</v>
      </c>
      <c r="B17" s="12" t="s">
        <v>32</v>
      </c>
      <c r="C17" s="13" t="s">
        <v>29</v>
      </c>
      <c r="D17" s="14" t="s">
        <v>30</v>
      </c>
      <c r="E17" s="14" t="s">
        <v>21</v>
      </c>
      <c r="F17" s="15">
        <v>1</v>
      </c>
      <c r="G17" s="16">
        <v>550000</v>
      </c>
      <c r="H17" s="16">
        <f t="shared" si="0"/>
        <v>550000</v>
      </c>
    </row>
    <row r="18" spans="1:8" s="10" customFormat="1" ht="24" customHeight="1">
      <c r="A18" s="66" t="s">
        <v>33</v>
      </c>
      <c r="B18" s="66"/>
      <c r="C18" s="66"/>
      <c r="D18" s="66"/>
      <c r="E18" s="66"/>
      <c r="F18" s="66"/>
      <c r="G18" s="66"/>
      <c r="H18" s="66"/>
    </row>
    <row r="19" spans="1:8" s="10" customFormat="1" ht="57" customHeight="1">
      <c r="A19" s="30" t="s">
        <v>37</v>
      </c>
      <c r="B19" s="29"/>
      <c r="C19" s="26"/>
      <c r="D19" s="26"/>
      <c r="E19" s="26"/>
      <c r="F19" s="26"/>
      <c r="G19" s="27" t="s">
        <v>35</v>
      </c>
      <c r="H19" s="24">
        <f>SUM(G12:G17)</f>
        <v>13700000</v>
      </c>
    </row>
    <row r="20" spans="1:8" ht="68.5" customHeight="1">
      <c r="A20" s="67" t="s">
        <v>36</v>
      </c>
      <c r="B20" s="68"/>
      <c r="C20" s="68"/>
      <c r="F20" s="23"/>
    </row>
    <row r="21" spans="1:8" ht="37.5" customHeight="1">
      <c r="A21" s="60" t="s">
        <v>4</v>
      </c>
      <c r="B21" s="60"/>
      <c r="C21" s="60"/>
      <c r="D21" s="60"/>
      <c r="E21" s="60"/>
    </row>
    <row r="22" spans="1:8">
      <c r="A22" s="61"/>
      <c r="B22" s="61"/>
      <c r="C22" s="61"/>
      <c r="D22" s="61"/>
      <c r="E22" s="61"/>
      <c r="F22" s="84"/>
      <c r="G22" s="25"/>
      <c r="H22" s="25"/>
    </row>
    <row r="23" spans="1:8">
      <c r="F23" s="1"/>
    </row>
    <row r="24" spans="1:8" ht="27.5">
      <c r="B24" s="4" t="s">
        <v>8</v>
      </c>
      <c r="C24" s="4"/>
      <c r="D24" s="4" t="s">
        <v>1</v>
      </c>
      <c r="F24" s="1"/>
    </row>
    <row r="25" spans="1:8" ht="42.65" customHeight="1">
      <c r="B25" s="4" t="s">
        <v>38</v>
      </c>
      <c r="C25" s="4"/>
      <c r="D25" s="4" t="s">
        <v>39</v>
      </c>
      <c r="F25" s="1"/>
    </row>
    <row r="26" spans="1:8" ht="30">
      <c r="C26" s="1" t="s">
        <v>0</v>
      </c>
      <c r="F26" s="3"/>
    </row>
  </sheetData>
  <mergeCells count="8">
    <mergeCell ref="A21:E22"/>
    <mergeCell ref="A3:F3"/>
    <mergeCell ref="A5:F5"/>
    <mergeCell ref="A6:F6"/>
    <mergeCell ref="A9:F9"/>
    <mergeCell ref="A10:F10"/>
    <mergeCell ref="A18:H18"/>
    <mergeCell ref="A20:C20"/>
  </mergeCells>
  <phoneticPr fontId="6" type="noConversion"/>
  <printOptions horizontalCentered="1"/>
  <pageMargins left="0.19685039370078741" right="0.19685039370078741" top="0.39370078740157483" bottom="0.39370078740157483" header="0.31496062992125984" footer="0.31496062992125984"/>
  <pageSetup paperSize="9" scale="4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F6AB-45E4-4219-8F4A-90938630EE26}">
  <dimension ref="A1:J26"/>
  <sheetViews>
    <sheetView zoomScale="40" zoomScaleNormal="40" workbookViewId="0">
      <selection activeCell="J29" sqref="J29:J30"/>
    </sheetView>
  </sheetViews>
  <sheetFormatPr defaultColWidth="9" defaultRowHeight="15.5"/>
  <cols>
    <col min="1" max="1" width="8.453125" style="10" customWidth="1"/>
    <col min="2" max="2" width="33" style="58" customWidth="1"/>
    <col min="3" max="3" width="38.54296875" style="10" customWidth="1"/>
    <col min="4" max="4" width="24.81640625" style="10" customWidth="1"/>
    <col min="5" max="5" width="28.26953125" style="10" customWidth="1"/>
    <col min="6" max="6" width="16.1796875" style="10" customWidth="1"/>
    <col min="7" max="7" width="25.26953125" style="10" customWidth="1"/>
    <col min="8" max="8" width="21.81640625" style="10" customWidth="1"/>
    <col min="9" max="9" width="29.6328125" style="10" customWidth="1"/>
    <col min="10" max="16384" width="9" style="10"/>
  </cols>
  <sheetData>
    <row r="1" spans="1:10" s="31" customFormat="1" ht="16">
      <c r="B1" s="32"/>
      <c r="C1" s="80" t="s">
        <v>40</v>
      </c>
      <c r="D1" s="80"/>
      <c r="E1" s="80"/>
      <c r="F1" s="81" t="s">
        <v>41</v>
      </c>
      <c r="G1" s="81"/>
      <c r="H1" s="81"/>
      <c r="I1" s="81"/>
    </row>
    <row r="2" spans="1:10" s="31" customFormat="1" ht="16.5">
      <c r="B2" s="32"/>
      <c r="C2" s="33" t="s">
        <v>42</v>
      </c>
      <c r="D2" s="34" t="s">
        <v>1</v>
      </c>
      <c r="F2" s="72" t="s">
        <v>42</v>
      </c>
      <c r="G2" s="72"/>
      <c r="H2" s="82" t="s">
        <v>43</v>
      </c>
      <c r="I2" s="82"/>
    </row>
    <row r="3" spans="1:10" s="31" customFormat="1" ht="16.5">
      <c r="B3" s="32"/>
      <c r="C3" s="33" t="s">
        <v>44</v>
      </c>
      <c r="D3" s="35" t="s">
        <v>45</v>
      </c>
      <c r="F3" s="72" t="s">
        <v>44</v>
      </c>
      <c r="G3" s="72"/>
      <c r="H3" s="83" t="s">
        <v>46</v>
      </c>
      <c r="I3" s="83"/>
    </row>
    <row r="4" spans="1:10" s="31" customFormat="1" ht="16.5">
      <c r="B4" s="32"/>
      <c r="C4" s="33" t="s">
        <v>47</v>
      </c>
      <c r="D4" s="36" t="s">
        <v>48</v>
      </c>
      <c r="F4" s="72" t="s">
        <v>47</v>
      </c>
      <c r="G4" s="72"/>
      <c r="H4" s="78" t="s">
        <v>49</v>
      </c>
      <c r="I4" s="78"/>
    </row>
    <row r="5" spans="1:10" s="31" customFormat="1" ht="16.5">
      <c r="B5" s="32"/>
      <c r="C5" s="33" t="s">
        <v>50</v>
      </c>
      <c r="D5" s="34"/>
      <c r="F5" s="72" t="s">
        <v>50</v>
      </c>
      <c r="G5" s="72"/>
      <c r="H5" s="73"/>
      <c r="I5" s="73"/>
    </row>
    <row r="6" spans="1:10" s="31" customFormat="1" ht="66">
      <c r="B6" s="32"/>
      <c r="C6" s="33" t="s">
        <v>51</v>
      </c>
      <c r="D6" s="37" t="s">
        <v>52</v>
      </c>
      <c r="F6" s="72" t="s">
        <v>51</v>
      </c>
      <c r="G6" s="72"/>
      <c r="H6" s="79" t="s">
        <v>53</v>
      </c>
      <c r="I6" s="79"/>
    </row>
    <row r="7" spans="1:10" s="31" customFormat="1" ht="16.5">
      <c r="B7" s="32"/>
      <c r="C7" s="33" t="s">
        <v>54</v>
      </c>
      <c r="D7" s="38" t="s">
        <v>55</v>
      </c>
      <c r="F7" s="72" t="s">
        <v>54</v>
      </c>
      <c r="G7" s="72"/>
      <c r="H7" s="73" t="s">
        <v>56</v>
      </c>
      <c r="I7" s="73"/>
    </row>
    <row r="8" spans="1:10" s="31" customFormat="1" ht="16" thickBot="1">
      <c r="B8" s="74"/>
      <c r="C8" s="74"/>
      <c r="D8" s="74"/>
      <c r="E8" s="74"/>
      <c r="F8" s="74"/>
      <c r="G8" s="39"/>
      <c r="H8" s="39"/>
      <c r="I8" s="39"/>
    </row>
    <row r="9" spans="1:10" s="31" customFormat="1" ht="16">
      <c r="A9" s="75" t="s">
        <v>57</v>
      </c>
      <c r="B9" s="75"/>
      <c r="C9" s="75"/>
      <c r="D9" s="75"/>
      <c r="E9" s="75"/>
      <c r="F9" s="75"/>
      <c r="G9" s="75"/>
      <c r="H9" s="75"/>
      <c r="I9" s="75"/>
    </row>
    <row r="10" spans="1:10" ht="18">
      <c r="A10" s="40" t="s">
        <v>58</v>
      </c>
      <c r="B10" s="41"/>
      <c r="C10" s="42"/>
      <c r="D10" s="42"/>
      <c r="E10" s="42"/>
      <c r="F10" s="43"/>
      <c r="G10" s="43"/>
      <c r="H10" s="43"/>
      <c r="I10" s="44"/>
    </row>
    <row r="11" spans="1:10" ht="61.5">
      <c r="A11" s="8" t="s">
        <v>9</v>
      </c>
      <c r="B11" s="9" t="s">
        <v>10</v>
      </c>
      <c r="C11" s="9" t="s">
        <v>11</v>
      </c>
      <c r="D11" s="9" t="s">
        <v>12</v>
      </c>
      <c r="E11" s="9" t="s">
        <v>13</v>
      </c>
      <c r="F11" s="9" t="s">
        <v>14</v>
      </c>
      <c r="G11" s="9" t="s">
        <v>15</v>
      </c>
      <c r="H11" s="9" t="s">
        <v>16</v>
      </c>
      <c r="I11" s="9" t="s">
        <v>17</v>
      </c>
    </row>
    <row r="12" spans="1:10" s="17" customFormat="1" ht="35.5">
      <c r="A12" s="11">
        <v>1</v>
      </c>
      <c r="B12" s="12" t="s">
        <v>18</v>
      </c>
      <c r="C12" s="13" t="s">
        <v>19</v>
      </c>
      <c r="D12" s="14" t="s">
        <v>20</v>
      </c>
      <c r="E12" s="14" t="s">
        <v>21</v>
      </c>
      <c r="F12" s="15">
        <v>1</v>
      </c>
      <c r="G12" s="15" t="s">
        <v>22</v>
      </c>
      <c r="H12" s="16">
        <v>550000</v>
      </c>
      <c r="I12" s="16">
        <f t="shared" ref="I12:I17" si="0">H12</f>
        <v>550000</v>
      </c>
    </row>
    <row r="13" spans="1:10" s="17" customFormat="1" ht="35.5">
      <c r="A13" s="11">
        <v>2</v>
      </c>
      <c r="B13" s="12" t="s">
        <v>23</v>
      </c>
      <c r="C13" s="18" t="s">
        <v>24</v>
      </c>
      <c r="D13" s="14" t="s">
        <v>20</v>
      </c>
      <c r="E13" s="14" t="s">
        <v>25</v>
      </c>
      <c r="F13" s="15">
        <v>1</v>
      </c>
      <c r="G13" s="15" t="s">
        <v>22</v>
      </c>
      <c r="H13" s="19">
        <v>8000000</v>
      </c>
      <c r="I13" s="16">
        <f t="shared" si="0"/>
        <v>8000000</v>
      </c>
      <c r="J13" s="28"/>
    </row>
    <row r="14" spans="1:10" s="17" customFormat="1" ht="35.5">
      <c r="A14" s="11">
        <v>3</v>
      </c>
      <c r="B14" s="12" t="s">
        <v>26</v>
      </c>
      <c r="C14" s="13" t="s">
        <v>19</v>
      </c>
      <c r="D14" s="14" t="s">
        <v>20</v>
      </c>
      <c r="E14" s="14" t="s">
        <v>27</v>
      </c>
      <c r="F14" s="15">
        <v>1</v>
      </c>
      <c r="G14" s="15" t="s">
        <v>22</v>
      </c>
      <c r="H14" s="19">
        <v>3500000</v>
      </c>
      <c r="I14" s="16">
        <f t="shared" si="0"/>
        <v>3500000</v>
      </c>
      <c r="J14" s="28"/>
    </row>
    <row r="15" spans="1:10" s="17" customFormat="1" ht="36">
      <c r="A15" s="11">
        <v>4</v>
      </c>
      <c r="B15" s="12" t="s">
        <v>28</v>
      </c>
      <c r="C15" s="13" t="s">
        <v>29</v>
      </c>
      <c r="D15" s="14" t="s">
        <v>30</v>
      </c>
      <c r="E15" s="14" t="s">
        <v>21</v>
      </c>
      <c r="F15" s="15">
        <v>1</v>
      </c>
      <c r="G15" s="15" t="s">
        <v>22</v>
      </c>
      <c r="H15" s="16">
        <v>550000</v>
      </c>
      <c r="I15" s="16">
        <f t="shared" si="0"/>
        <v>550000</v>
      </c>
    </row>
    <row r="16" spans="1:10" s="17" customFormat="1" ht="36">
      <c r="A16" s="11">
        <v>5</v>
      </c>
      <c r="B16" s="12" t="s">
        <v>31</v>
      </c>
      <c r="C16" s="13" t="s">
        <v>29</v>
      </c>
      <c r="D16" s="14" t="s">
        <v>30</v>
      </c>
      <c r="E16" s="14" t="s">
        <v>21</v>
      </c>
      <c r="F16" s="15">
        <v>1</v>
      </c>
      <c r="G16" s="15" t="s">
        <v>22</v>
      </c>
      <c r="H16" s="16">
        <v>550000</v>
      </c>
      <c r="I16" s="16">
        <f t="shared" si="0"/>
        <v>550000</v>
      </c>
    </row>
    <row r="17" spans="1:9" s="17" customFormat="1" ht="36">
      <c r="A17" s="11">
        <v>6</v>
      </c>
      <c r="B17" s="12" t="s">
        <v>32</v>
      </c>
      <c r="C17" s="13" t="s">
        <v>29</v>
      </c>
      <c r="D17" s="14" t="s">
        <v>30</v>
      </c>
      <c r="E17" s="14" t="s">
        <v>21</v>
      </c>
      <c r="F17" s="15">
        <v>1</v>
      </c>
      <c r="G17" s="15" t="s">
        <v>22</v>
      </c>
      <c r="H17" s="16">
        <v>550000</v>
      </c>
      <c r="I17" s="16">
        <f t="shared" si="0"/>
        <v>550000</v>
      </c>
    </row>
    <row r="18" spans="1:9" ht="18" thickBot="1">
      <c r="A18" s="76" t="s">
        <v>33</v>
      </c>
      <c r="B18" s="76"/>
      <c r="C18" s="76"/>
      <c r="D18" s="76"/>
      <c r="E18" s="76"/>
      <c r="F18" s="76"/>
      <c r="G18" s="76"/>
      <c r="H18" s="76"/>
      <c r="I18" s="76"/>
    </row>
    <row r="19" spans="1:9" ht="54">
      <c r="A19" s="77" t="s">
        <v>34</v>
      </c>
      <c r="B19" s="77"/>
      <c r="C19" s="20"/>
      <c r="D19" s="20"/>
      <c r="E19" s="20"/>
      <c r="F19" s="20"/>
      <c r="G19" s="20"/>
      <c r="H19" s="21" t="s">
        <v>35</v>
      </c>
      <c r="I19" s="22">
        <f>SUM(H12:H17)</f>
        <v>13700000</v>
      </c>
    </row>
    <row r="20" spans="1:9" ht="37.5" customHeight="1">
      <c r="A20" s="45" t="s">
        <v>59</v>
      </c>
      <c r="B20" s="46"/>
      <c r="C20" s="47"/>
      <c r="D20" s="47"/>
      <c r="E20" s="48" t="s">
        <v>60</v>
      </c>
      <c r="F20" s="49"/>
      <c r="G20" s="49"/>
      <c r="H20" s="49"/>
      <c r="I20" s="50"/>
    </row>
    <row r="21" spans="1:9" ht="37.5" customHeight="1">
      <c r="A21" s="51" t="s">
        <v>61</v>
      </c>
      <c r="B21" s="52"/>
      <c r="C21" s="47"/>
      <c r="D21" s="47"/>
      <c r="E21" s="69" t="s">
        <v>62</v>
      </c>
      <c r="F21" s="69"/>
      <c r="G21" s="69"/>
      <c r="H21" s="69"/>
      <c r="I21" s="69"/>
    </row>
    <row r="22" spans="1:9" ht="54" customHeight="1">
      <c r="A22" s="53"/>
      <c r="B22" s="54"/>
      <c r="C22" s="46"/>
      <c r="D22" s="46"/>
      <c r="E22" s="69" t="s">
        <v>63</v>
      </c>
      <c r="F22" s="69"/>
      <c r="G22" s="69"/>
      <c r="H22" s="69"/>
      <c r="I22" s="69"/>
    </row>
    <row r="23" spans="1:9" ht="60" customHeight="1">
      <c r="A23" s="53"/>
      <c r="B23" s="54"/>
      <c r="C23" s="46"/>
      <c r="D23" s="46"/>
      <c r="E23" s="69" t="s">
        <v>64</v>
      </c>
      <c r="F23" s="69"/>
      <c r="G23" s="69"/>
      <c r="H23" s="69"/>
      <c r="I23" s="69"/>
    </row>
    <row r="24" spans="1:9" ht="44" customHeight="1">
      <c r="A24" s="53"/>
      <c r="B24" s="54"/>
      <c r="C24" s="46"/>
      <c r="D24" s="46"/>
      <c r="E24" s="70" t="s">
        <v>65</v>
      </c>
      <c r="F24" s="70"/>
      <c r="G24" s="70"/>
      <c r="H24" s="70"/>
      <c r="I24" s="70"/>
    </row>
    <row r="25" spans="1:9" ht="60" customHeight="1" thickBot="1">
      <c r="A25" s="55"/>
      <c r="B25" s="56"/>
      <c r="C25" s="57"/>
      <c r="D25" s="57"/>
      <c r="E25" s="71" t="s">
        <v>66</v>
      </c>
      <c r="F25" s="71"/>
      <c r="G25" s="71"/>
      <c r="H25" s="71"/>
      <c r="I25" s="71"/>
    </row>
    <row r="26" spans="1:9">
      <c r="I26" s="59"/>
    </row>
  </sheetData>
  <mergeCells count="23">
    <mergeCell ref="C1:E1"/>
    <mergeCell ref="F1:I1"/>
    <mergeCell ref="F2:G2"/>
    <mergeCell ref="H2:I2"/>
    <mergeCell ref="F3:G3"/>
    <mergeCell ref="H3:I3"/>
    <mergeCell ref="A19:B19"/>
    <mergeCell ref="F4:G4"/>
    <mergeCell ref="H4:I4"/>
    <mergeCell ref="F5:G5"/>
    <mergeCell ref="H5:I5"/>
    <mergeCell ref="F6:G6"/>
    <mergeCell ref="H6:I6"/>
    <mergeCell ref="F7:G7"/>
    <mergeCell ref="H7:I7"/>
    <mergeCell ref="B8:F8"/>
    <mergeCell ref="A9:I9"/>
    <mergeCell ref="A18:I18"/>
    <mergeCell ref="E21:I21"/>
    <mergeCell ref="E22:I22"/>
    <mergeCell ref="E23:I23"/>
    <mergeCell ref="E24:I24"/>
    <mergeCell ref="E25:I25"/>
  </mergeCells>
  <hyperlinks>
    <hyperlink ref="H7" r:id="rId1" xr:uid="{6F6D39F2-19E4-4600-9341-50E3BA21908F}"/>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CX Technology (VN)</vt:lpstr>
      <vt:lpstr>Sheet1</vt:lpstr>
      <vt:lpstr>'CX Technology (VN)'!Print_Area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HMSales</dc:creator>
  <cp:lastModifiedBy>洋銘資訊</cp:lastModifiedBy>
  <cp:lastPrinted>2026-03-19T09:26:48Z</cp:lastPrinted>
  <dcterms:created xsi:type="dcterms:W3CDTF">2025-04-02T04:34:13Z</dcterms:created>
  <dcterms:modified xsi:type="dcterms:W3CDTF">2026-10-09T07:07:40Z</dcterms:modified>
</cp:coreProperties>
</file>