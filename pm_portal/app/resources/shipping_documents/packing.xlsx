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Packing List" sheetId="1" r:id="rId1"/>
  </sheets>
  <definedNames>
    <definedName name="_xlnm.Print_Area" localSheetId="0">'Packing List'!$A$1:$H$37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<sst xmlns="http://schemas.openxmlformats.org/spreadsheetml/2006/main" count="58" uniqueCount="53">
  <si>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CÔNG TY TNHH TOÀN CẦU HONG MING
HONG MING GLOBAL COMPANY LIMITED
Địa chỉ: Lầu 2, số 68 Nguyễn Huệ, Phường Sài Gòn,TP. Hồ Chí Minh, Việt Nam
Tel: 0896890652 Fax: +8863-3600770 Email: sales@hongming-global.com</t>
  </si>
  <si>
    <t>PHIẾU ĐÓNG GÓI CHI TIẾT / PACKING LIST</t>
  </si>
  <si>
    <t>NGƯỜI MUA / TO MESSRS:</t>
  </si>
  <si>
    <t>CÔNG TY TRÁCH NHIỆM HỮU HẠN SEIYO VIỆT NAM</t>
  </si>
  <si>
    <t>Số packing / packing No.:</t>
  </si>
  <si>
    <t>Lô D1, khu công nghiệp Quế Võ, Phường Nam Sơn, Tỉnh Bắc Ninh, Việt Nam</t>
  </si>
  <si>
    <t>Ngày phát hành / Date:</t>
  </si>
  <si>
    <t>30/10/2026</t>
  </si>
  <si>
    <t>Số Hợp Đồng / Contract No.:</t>
  </si>
  <si>
    <t>Phương thức vận chuyển 
/ Shipment:</t>
  </si>
  <si>
    <t>STT
No.</t>
  </si>
  <si>
    <t>MÔ TẢ HÀNG HÓA
DESCRIPTION OF GOODS</t>
  </si>
  <si>
    <t>SỐ LƯỢNG
QUANTITY</t>
  </si>
  <si>
    <t>TRỌNG LƯỢNG (KG)/ĐVT</t>
  </si>
  <si>
    <t>TỔNG TRỌNG LƯỢNG (KG)</t>
  </si>
  <si>
    <t>Tủ mạng 6U, màu đen, D500
6U 黑色壁掛機櫃，深度500mm</t>
  </si>
  <si>
    <t>7 CÁI</t>
  </si>
  <si>
    <t>Ổ cắm điện PDU 6 cổng
機架式電源排插 6孔</t>
  </si>
  <si>
    <t>Phích cắm CN 1P-16A
插頭 CN 1P-16A</t>
  </si>
  <si>
    <t>11 CÁI</t>
  </si>
  <si>
    <t>Thanh quản lý cáp mạng ngang
水平理線架</t>
  </si>
  <si>
    <t>Switch 24 cổng Gigabit + 4 SFP TL-SG3428
24埠 Gigabit + 4埠 SFP 交換器</t>
  </si>
  <si>
    <t>1 CÁI</t>
  </si>
  <si>
    <t>Switch 16 cổng Gigabit + 2 SFP TL-SG2218
16埠 Gigabit + 2埠 SFP 交換器</t>
  </si>
  <si>
    <t>5 CÁI</t>
  </si>
  <si>
    <t>Bộ nguồn 24V DC HDR-150-24
24V DC 電源轉換器 HDR-150-24</t>
  </si>
  <si>
    <t>4 CÁI</t>
  </si>
  <si>
    <t>Hộp đấu nối sắt 500×400×150mm
鐵製接線盒 500×400×150mm</t>
  </si>
  <si>
    <t>Bộ chuyển đổi quang điện 10/100/1000
光電轉換器 1G</t>
  </si>
  <si>
    <t>6 CÁI</t>
  </si>
  <si>
    <t>Module quang SFP GBIC-1.25G
光纖模組 SFP GBIC-1.25G</t>
  </si>
  <si>
    <t>8 CÁI</t>
  </si>
  <si>
    <t>Dây điện Cu/PVC/PVC 3C×1,5mm², 350m
電線 Cu/PVC/PVC 3C×1.5mm²，350米</t>
  </si>
  <si>
    <t>1 LÔ (350 m)</t>
  </si>
  <si>
    <t>Cáp quang SM 4FO, 960m
單模4芯光纖纜線，960米</t>
  </si>
  <si>
    <t>1 LÔ (960 m)</t>
  </si>
  <si>
    <t>Hộp ODF 24 khớp SC đôi, cố định, 1U
光纖熔接盤 24埠，雙SC，1U</t>
  </si>
  <si>
    <t>Hộp ODF 8 khớp SC đôi
光纖熔接盤 8埠，雙SC</t>
  </si>
  <si>
    <t>3 CÁI</t>
  </si>
  <si>
    <t>Hộp ODF 4 khớp SC đôi
光纖熔接盤 4埠，雙SC</t>
  </si>
  <si>
    <t>Dây nhảy quang SC/LC 3m
光纖跳線 SC/LC，3米</t>
  </si>
  <si>
    <t>14 CÁI</t>
  </si>
  <si>
    <t>Cáp mạng CAT6 UTP, 4 đôi
CAT6 UTP 網路線，4對</t>
  </si>
  <si>
    <t>13 HỘP</t>
  </si>
  <si>
    <t>Ống PVC D25, D20, tổng 2.100m
PVC 管 D25、D20，共2,100米</t>
  </si>
  <si>
    <t>1 LÔ (2.100 m)</t>
  </si>
  <si>
    <t>Máng cáp có nắp 100×100×1,2mm, 30m
附蓋電纜槽 100×100×1.2mm，30米</t>
  </si>
  <si>
    <t>1 LÔ (30 m)</t>
  </si>
  <si>
    <t>Vật tư phụ: đầu cút, ốc vít, băng dính, ruột gà
配件：接頭、螺絲、膠帶、軟管等</t>
  </si>
  <si>
    <t>1 LÔ</t>
  </si>
  <si>
    <t>TOTAL / 合計</t>
  </si>
  <si>
    <t>ĐẠI DIỆN BÊN BÁN / SELLER'S REPRESENTATIVE</t>
  </si>
  <si>
    <t>TANG, WEI-LI ( General Director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</si>
</sst>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0">
    <font>
      <sz val="11"/>
      <color theme="1"/>
      <name val="Calibri"/>
      <charset val="134"/>
    </font>
    <font>
      <sz val="8"/>
      <color theme="1"/>
      <name val="Times New Roman"/>
      <charset val="134"/>
    </font>
    <font>
      <sz val="9"/>
      <name val="Times New Roman"/>
      <charset val="134"/>
    </font>
    <font>
      <sz val="9"/>
      <color theme="1"/>
      <name val="Times New Roman"/>
      <charset val="134"/>
    </font>
    <font>
      <b/>
      <sz val="14"/>
      <color rgb="FF1F497D"/>
      <name val="Times New Roman"/>
      <charset val="134"/>
    </font>
    <font>
      <b/>
      <sz val="8"/>
      <color rgb="FFFFFFFF"/>
      <name val="Times New Roman"/>
      <charset val="134"/>
    </font>
    <font>
      <sz val="9"/>
      <color rgb="FF000000"/>
      <name val="Times New Roman"/>
      <charset val="134"/>
    </font>
    <font>
      <sz val="8"/>
      <color rgb="FF000000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0"/>
    <xf numFmtId="0" fontId="1" fillId="0" borderId="0" xfId="49" applyFont="1"/>
    <xf numFmtId="0" fontId="2" fillId="0" borderId="0" xfId="49" applyFont="1" applyAlignment="1">
      <alignment horizontal="left" vertical="top" wrapText="1"/>
    </xf>
    <xf numFmtId="0" fontId="3" fillId="0" borderId="0" xfId="49" applyFont="1"/>
    <xf numFmtId="0" fontId="4" fillId="0" borderId="0" xfId="0" applyFont="1" applyAlignment="1">
      <alignment horizontal="center" vertical="center"/>
    </xf>
    <xf numFmtId="0" fontId="2" fillId="0" borderId="0" xfId="49" applyFont="1" applyAlignment="1">
      <alignment horizontal="left"/>
    </xf>
    <xf numFmtId="0" fontId="2" fillId="0" borderId="0" xfId="49" applyFont="1" applyAlignment="1">
      <alignment horizontal="left" vertical="top"/>
    </xf>
    <xf numFmtId="0" fontId="3" fillId="0" borderId="0" xfId="49" applyFont="1" applyAlignment="1">
      <alignment horizontal="left"/>
    </xf>
    <xf numFmtId="0" fontId="3" fillId="0" borderId="0" xfId="49" applyFont="1" applyAlignment="1">
      <alignment horizontal="center"/>
    </xf>
    <xf numFmtId="0" fontId="5" fillId="2" borderId="1" xfId="49" applyFont="1" applyFill="1" applyBorder="1" applyAlignment="1">
      <alignment horizontal="center" vertical="center" wrapText="1"/>
    </xf>
    <xf numFmtId="0" fontId="6" fillId="3" borderId="1" xfId="49" applyFont="1" applyFill="1" applyBorder="1" applyAlignment="1">
      <alignment horizontal="center" vertical="center" wrapText="1"/>
    </xf>
    <xf numFmtId="0" fontId="7" fillId="3" borderId="1" xfId="49" applyFont="1" applyFill="1" applyBorder="1" applyAlignment="1">
      <alignment horizontal="left" vertical="center" wrapText="1"/>
    </xf>
    <xf numFmtId="0" fontId="1" fillId="0" borderId="1" xfId="49" applyFont="1" applyBorder="1" applyAlignment="1">
      <alignment horizontal="center"/>
    </xf>
    <xf numFmtId="0" fontId="7" fillId="3" borderId="1" xfId="49" applyFont="1" applyFill="1" applyBorder="1" applyAlignment="1">
      <alignment horizontal="center" vertical="center" wrapText="1"/>
    </xf>
    <xf numFmtId="2" fontId="6" fillId="3" borderId="1" xfId="49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0" xfId="0" applyFont="1"/>
    <xf numFmtId="0" fontId="1" fillId="0" borderId="0" xfId="0" applyFont="1"/>
    <xf numFmtId="0" fontId="3" fillId="0" borderId="0" xfId="0" applyFont="1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Bình thường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showGridLines="0" tabSelected="1" topLeftCell="A17" workbookViewId="0">
      <selection activeCell="N18" sqref="N18"/>
    </sheetView>
  </sheetViews>
  <sheetFormatPr defaultColWidth="8.88888888888889" defaultRowHeight="10.2" outlineLevelCol="7"/>
  <cols>
    <col min="1" max="1" width="5.55555555555556" style="1" customWidth="1"/>
    <col min="2" max="2" width="19.3333333333333" style="1" customWidth="1"/>
    <col min="3" max="3" width="15.7777777777778" style="1" customWidth="1"/>
    <col min="4" max="4" width="11" style="1" customWidth="1"/>
    <col min="5" max="5" width="2.55555555555556" style="1" customWidth="1"/>
    <col min="6" max="6" width="17.6666666666667" style="1" customWidth="1"/>
    <col min="7" max="7" width="16" style="1" customWidth="1"/>
    <col min="8" max="8" width="2.44444444444444" style="1" customWidth="1"/>
    <col min="9" max="16384" width="8.88888888888889" style="1"/>
  </cols>
  <sheetData>
    <row r="1" ht="18" customHeight="1" spans="1:8">
      <c r="A1" s="2" t="s">
        <v>0</v>
      </c>
      <c r="B1" s="2"/>
      <c r="C1" s="2"/>
      <c r="D1" s="2"/>
      <c r="E1" s="2"/>
      <c r="F1" s="2"/>
    </row>
    <row r="2" ht="18" customHeight="1" spans="1:8">
      <c r="A2" s="2"/>
      <c r="B2" s="2"/>
      <c r="C2" s="2"/>
      <c r="D2" s="2"/>
      <c r="E2" s="2"/>
      <c r="F2" s="2"/>
    </row>
    <row r="3" ht="18" customHeight="1" spans="1:8">
      <c r="A3" s="2"/>
      <c r="B3" s="2"/>
      <c r="C3" s="2"/>
      <c r="D3" s="2"/>
      <c r="E3" s="2"/>
      <c r="F3" s="2"/>
    </row>
    <row r="4" ht="22.2" customHeight="1" spans="1:8">
      <c r="A4" s="3"/>
      <c r="B4" s="4" t="s">
        <v>1</v>
      </c>
      <c r="C4" s="4"/>
      <c r="D4" s="4"/>
      <c r="E4" s="4"/>
      <c r="F4" s="4"/>
    </row>
    <row r="5" ht="12" spans="1:8">
      <c r="A5" s="3"/>
      <c r="B5" s="3"/>
      <c r="C5" s="3"/>
      <c r="D5" s="3"/>
      <c r="E5" s="3"/>
      <c r="F5" s="3"/>
    </row>
    <row r="6" ht="12" spans="1:8">
      <c r="A6" s="3" t="s">
        <v>2</v>
      </c>
      <c r="B6" s="3"/>
      <c r="C6" s="3"/>
      <c r="D6" s="3"/>
      <c r="E6" s="3"/>
      <c r="F6" s="3"/>
    </row>
    <row r="7" ht="19.95" customHeight="1" spans="1:8">
      <c r="A7" s="5" t="s">
        <v>3</v>
      </c>
      <c r="B7" s="5"/>
      <c r="C7" s="5"/>
      <c r="D7" s="5"/>
      <c r="E7" s="5"/>
      <c r="F7" s="5" t="s">
        <v>4</v>
      </c>
    </row>
    <row r="8" ht="31.2" customHeight="1" spans="1:8">
      <c r="A8" s="2" t="s">
        <v>5</v>
      </c>
      <c r="B8" s="6"/>
      <c r="C8" s="6"/>
      <c r="D8" s="6"/>
      <c r="E8" s="6"/>
      <c r="F8" s="5" t="s">
        <v>6</v>
      </c>
      <c r="G8" s="1" t="s">
        <v>7</v>
      </c>
    </row>
    <row r="9" ht="18" customHeight="1" spans="1:8">
      <c r="A9" s="7"/>
      <c r="B9" s="7"/>
      <c r="C9" s="7"/>
      <c r="D9" s="7"/>
      <c r="E9" s="7"/>
      <c r="F9" s="5" t="s">
        <v>8</v>
      </c>
    </row>
    <row r="10" ht="18" customHeight="1" spans="1:8">
      <c r="A10" s="8"/>
      <c r="B10" s="8"/>
      <c r="C10" s="8"/>
      <c r="D10" s="8"/>
      <c r="E10" s="8"/>
      <c r="F10" s="2" t="s">
        <v>9</v>
      </c>
    </row>
    <row r="11" ht="12" spans="1:8">
      <c r="A11" s="3"/>
      <c r="B11" s="3"/>
      <c r="C11" s="3"/>
      <c r="D11" s="3"/>
      <c r="E11" s="3"/>
      <c r="F11" s="2"/>
    </row>
    <row r="12" ht="31.95" customHeight="1" spans="1:8">
      <c r="A12" s="9" t="s">
        <v>10</v>
      </c>
      <c r="B12" s="9" t="s">
        <v>11</v>
      </c>
      <c r="C12" s="9"/>
      <c r="D12" s="9" t="s">
        <v>12</v>
      </c>
      <c r="E12" s="9" t="s">
        <v>13</v>
      </c>
      <c r="F12" s="9"/>
      <c r="G12" s="9" t="s">
        <v>14</v>
      </c>
      <c r="H12" s="9"/>
    </row>
    <row r="13" ht="55.2" customHeight="1" spans="1:8">
      <c r="A13" s="10">
        <v>1</v>
      </c>
      <c r="B13" s="11" t="s">
        <v>15</v>
      </c>
      <c r="C13" s="11"/>
      <c r="D13" s="10" t="s">
        <v>16</v>
      </c>
      <c r="E13" s="10"/>
      <c r="F13" s="10"/>
      <c r="G13" s="12" t="str">
        <f>IF(E13="","",E13*7)</f>
        <v/>
      </c>
      <c r="H13" s="12"/>
    </row>
    <row r="14" ht="55.2" customHeight="1" spans="1:8">
      <c r="A14" s="10">
        <v>2</v>
      </c>
      <c r="B14" s="11" t="s">
        <v>17</v>
      </c>
      <c r="C14" s="11"/>
      <c r="D14" s="10" t="s">
        <v>16</v>
      </c>
      <c r="E14" s="10"/>
      <c r="F14" s="10"/>
      <c r="G14" s="12" t="str">
        <f>IF(E14="","",E14*7)</f>
        <v/>
      </c>
      <c r="H14" s="12"/>
    </row>
    <row r="15" ht="43.95" customHeight="1" spans="1:8">
      <c r="A15" s="10">
        <v>3</v>
      </c>
      <c r="B15" s="11" t="s">
        <v>18</v>
      </c>
      <c r="C15" s="11"/>
      <c r="D15" s="10" t="s">
        <v>19</v>
      </c>
      <c r="E15" s="10"/>
      <c r="F15" s="10"/>
      <c r="G15" s="12" t="str">
        <f>IF(E15="","",E15*11)</f>
        <v/>
      </c>
      <c r="H15" s="12"/>
    </row>
    <row r="16" ht="43.95" customHeight="1" spans="1:8">
      <c r="A16" s="10">
        <v>4</v>
      </c>
      <c r="B16" s="13" t="s">
        <v>20</v>
      </c>
      <c r="C16" s="11"/>
      <c r="D16" s="10" t="s">
        <v>16</v>
      </c>
      <c r="E16" s="10"/>
      <c r="F16" s="10"/>
      <c r="G16" s="12" t="str">
        <f>IF(E16="","",E16*7)</f>
        <v/>
      </c>
      <c r="H16" s="12"/>
    </row>
    <row r="17" ht="75" customHeight="1" spans="1:8">
      <c r="A17" s="10">
        <v>5</v>
      </c>
      <c r="B17" s="13" t="s">
        <v>21</v>
      </c>
      <c r="C17" s="11"/>
      <c r="D17" s="10" t="s">
        <v>22</v>
      </c>
      <c r="E17" s="10"/>
      <c r="F17" s="10"/>
      <c r="G17" s="12" t="str">
        <f>IF(E17="","",E17*1)</f>
        <v/>
      </c>
      <c r="H17" s="12"/>
    </row>
    <row r="18" ht="64.95" customHeight="1" spans="1:8">
      <c r="A18" s="10">
        <v>6</v>
      </c>
      <c r="B18" s="13" t="s">
        <v>23</v>
      </c>
      <c r="C18" s="11"/>
      <c r="D18" s="10" t="s">
        <v>24</v>
      </c>
      <c r="E18" s="10"/>
      <c r="F18" s="10"/>
      <c r="G18" s="12" t="str">
        <f>IF(E18="","",E18*5)</f>
        <v/>
      </c>
      <c r="H18" s="12"/>
    </row>
    <row r="19" ht="43.95" customHeight="1" spans="1:8">
      <c r="A19" s="10">
        <v>7</v>
      </c>
      <c r="B19" s="13" t="s">
        <v>25</v>
      </c>
      <c r="C19" s="11"/>
      <c r="D19" s="10" t="s">
        <v>26</v>
      </c>
      <c r="E19" s="14"/>
      <c r="F19" s="14"/>
      <c r="G19" s="12" t="str">
        <f>IF(E19="","",E19*4)</f>
        <v/>
      </c>
      <c r="H19" s="12"/>
    </row>
    <row r="20" ht="60" customHeight="1" spans="1:8">
      <c r="A20" s="10">
        <v>8</v>
      </c>
      <c r="B20" s="13" t="s">
        <v>27</v>
      </c>
      <c r="C20" s="11"/>
      <c r="D20" s="10" t="s">
        <v>26</v>
      </c>
      <c r="E20" s="10"/>
      <c r="F20" s="10"/>
      <c r="G20" s="12" t="str">
        <f>IF(E20="","",E20*4)</f>
        <v/>
      </c>
      <c r="H20" s="12"/>
    </row>
    <row r="21" ht="64.95" customHeight="1" spans="1:8">
      <c r="A21" s="10">
        <v>9</v>
      </c>
      <c r="B21" s="13" t="s">
        <v>28</v>
      </c>
      <c r="C21" s="13"/>
      <c r="D21" s="10" t="s">
        <v>29</v>
      </c>
      <c r="E21" s="10"/>
      <c r="F21" s="10"/>
      <c r="G21" s="12" t="str">
        <f>IF(E21="","",E21*6)</f>
        <v/>
      </c>
      <c r="H21" s="12"/>
    </row>
    <row r="22" ht="55.2" customHeight="1" spans="1:8">
      <c r="A22" s="10">
        <v>10</v>
      </c>
      <c r="B22" s="13" t="s">
        <v>30</v>
      </c>
      <c r="C22" s="13"/>
      <c r="D22" s="10" t="s">
        <v>31</v>
      </c>
      <c r="E22" s="10"/>
      <c r="F22" s="10"/>
      <c r="G22" s="12" t="str">
        <f>IF(E22="","",E22*8)</f>
        <v/>
      </c>
      <c r="H22" s="12"/>
    </row>
    <row r="23" ht="49.95" customHeight="1" spans="1:8">
      <c r="A23" s="10">
        <v>11</v>
      </c>
      <c r="B23" s="13" t="s">
        <v>32</v>
      </c>
      <c r="C23" s="13"/>
      <c r="D23" s="10" t="s">
        <v>33</v>
      </c>
      <c r="E23" s="10"/>
      <c r="F23" s="10"/>
      <c r="G23" s="12" t="str">
        <f>IF(E23="","",E23*1)</f>
        <v/>
      </c>
      <c r="H23" s="12"/>
    </row>
    <row r="24" ht="55.2" customHeight="1" spans="1:8">
      <c r="A24" s="10">
        <v>12</v>
      </c>
      <c r="B24" s="13" t="s">
        <v>34</v>
      </c>
      <c r="C24" s="11"/>
      <c r="D24" s="10" t="s">
        <v>35</v>
      </c>
      <c r="E24" s="10"/>
      <c r="F24" s="10"/>
      <c r="G24" s="12" t="str">
        <f>IF(E24="","",E24*1)</f>
        <v/>
      </c>
      <c r="H24" s="12"/>
    </row>
    <row r="25" ht="64.95" customHeight="1" spans="1:8">
      <c r="A25" s="10">
        <v>13</v>
      </c>
      <c r="B25" s="13" t="s">
        <v>36</v>
      </c>
      <c r="C25" s="11"/>
      <c r="D25" s="10" t="s">
        <v>22</v>
      </c>
      <c r="E25" s="10"/>
      <c r="F25" s="10"/>
      <c r="G25" s="12" t="str">
        <f>IF(E25="","",E25*1)</f>
        <v/>
      </c>
      <c r="H25" s="12"/>
    </row>
    <row r="26" ht="64.95" customHeight="1" spans="1:8">
      <c r="A26" s="10">
        <v>14</v>
      </c>
      <c r="B26" s="13" t="s">
        <v>37</v>
      </c>
      <c r="C26" s="13"/>
      <c r="D26" s="10" t="s">
        <v>38</v>
      </c>
      <c r="E26" s="10"/>
      <c r="F26" s="10"/>
      <c r="G26" s="12" t="str">
        <f>IF(E26="","",E26*3)</f>
        <v/>
      </c>
      <c r="H26" s="12"/>
    </row>
    <row r="27" ht="64.95" customHeight="1" spans="1:8">
      <c r="A27" s="10">
        <v>15</v>
      </c>
      <c r="B27" s="13" t="s">
        <v>39</v>
      </c>
      <c r="C27" s="11"/>
      <c r="D27" s="10" t="s">
        <v>24</v>
      </c>
      <c r="E27" s="10"/>
      <c r="F27" s="10"/>
      <c r="G27" s="12" t="str">
        <f>IF(E27="","",E27*5)</f>
        <v/>
      </c>
      <c r="H27" s="12"/>
    </row>
    <row r="28" ht="55.2" customHeight="1" spans="1:8">
      <c r="A28" s="10">
        <v>16</v>
      </c>
      <c r="B28" s="13" t="s">
        <v>40</v>
      </c>
      <c r="C28" s="11"/>
      <c r="D28" s="10" t="s">
        <v>41</v>
      </c>
      <c r="E28" s="10"/>
      <c r="F28" s="10"/>
      <c r="G28" s="12" t="str">
        <f>IF(E28="","",E28*14)</f>
        <v/>
      </c>
      <c r="H28" s="12"/>
    </row>
    <row r="29" ht="55.2" customHeight="1" spans="1:8">
      <c r="A29" s="10">
        <v>17</v>
      </c>
      <c r="B29" s="13" t="s">
        <v>42</v>
      </c>
      <c r="C29" s="13"/>
      <c r="D29" s="10" t="s">
        <v>43</v>
      </c>
      <c r="E29" s="10"/>
      <c r="F29" s="10"/>
      <c r="G29" s="12" t="str">
        <f>IF(E29="","",E29*13)</f>
        <v/>
      </c>
      <c r="H29" s="12"/>
    </row>
    <row r="30" ht="55.2" customHeight="1" spans="1:8">
      <c r="A30" s="10">
        <v>18</v>
      </c>
      <c r="B30" s="13" t="s">
        <v>44</v>
      </c>
      <c r="C30" s="13"/>
      <c r="D30" s="10" t="s">
        <v>45</v>
      </c>
      <c r="E30" s="10"/>
      <c r="F30" s="10"/>
      <c r="G30" s="12" t="str">
        <f>IF(E30="","",E30*1)</f>
        <v/>
      </c>
      <c r="H30" s="12"/>
    </row>
    <row r="31" ht="55.2" customHeight="1" spans="1:8">
      <c r="A31" s="10">
        <v>19</v>
      </c>
      <c r="B31" s="13" t="s">
        <v>46</v>
      </c>
      <c r="C31" s="13"/>
      <c r="D31" s="10" t="s">
        <v>47</v>
      </c>
      <c r="E31" s="10"/>
      <c r="F31" s="10"/>
      <c r="G31" s="12" t="str">
        <f>IF(E31="","",E31*1)</f>
        <v/>
      </c>
      <c r="H31" s="12"/>
    </row>
    <row r="32" ht="55.2" customHeight="1" spans="1:8">
      <c r="A32" s="10">
        <v>20</v>
      </c>
      <c r="B32" s="13" t="s">
        <v>48</v>
      </c>
      <c r="C32" s="13"/>
      <c r="D32" s="10" t="s">
        <v>49</v>
      </c>
      <c r="E32" s="10"/>
      <c r="F32" s="10"/>
      <c r="G32" s="12" t="str">
        <f>IF(E32="","",E32*1)</f>
        <v/>
      </c>
      <c r="H32" s="12"/>
    </row>
    <row r="33" ht="24" customHeight="1" spans="1:8">
      <c r="A33" s="15" t="s">
        <v>50</v>
      </c>
      <c r="B33" s="16"/>
      <c r="C33" s="17"/>
      <c r="D33" s="15"/>
      <c r="E33" s="15"/>
      <c r="F33" s="15"/>
      <c r="G33" s="18" t="str">
        <f>IF(COUNT(G13:G32)=20,SUM(G13:G32),"")</f>
        <v/>
      </c>
      <c r="H33" s="19"/>
    </row>
    <row r="34" ht="1.95" customHeight="1" spans="1:8">
      <c r="A34" s="20"/>
      <c r="B34" s="20"/>
      <c r="C34" s="20"/>
      <c r="D34" s="20"/>
      <c r="E34" s="20"/>
      <c r="F34" s="20"/>
      <c r="G34" s="21"/>
      <c r="H34" s="21"/>
    </row>
    <row r="35" ht="37.95" customHeight="1" spans="1:8">
      <c r="A35" s="22"/>
      <c r="B35" s="22"/>
      <c r="C35" s="22"/>
      <c r="D35" s="22"/>
      <c r="E35" s="22"/>
      <c r="F35" s="23" t="s">
        <v>51</v>
      </c>
      <c r="G35" s="21"/>
      <c r="H35" s="21"/>
    </row>
    <row r="36" ht="37.95" customHeight="1" spans="1:8">
      <c r="A36" s="22"/>
      <c r="B36" s="22"/>
      <c r="C36" s="22"/>
      <c r="D36" s="22"/>
      <c r="E36" s="22"/>
      <c r="F36" s="24"/>
      <c r="G36" s="21"/>
      <c r="H36" s="21"/>
    </row>
    <row r="37" ht="37.95" customHeight="1" spans="1:8">
      <c r="A37" s="22"/>
      <c r="B37" s="22"/>
      <c r="C37" s="22"/>
      <c r="D37" s="22"/>
      <c r="E37" s="22"/>
      <c r="F37" s="25" t="s">
        <v>52</v>
      </c>
      <c r="G37" s="21"/>
      <c r="H37" s="21"/>
    </row>
    <row r="38" ht="55.2" customHeight="1" spans="1:8">
      <c r="A38"/>
      <c r="B38"/>
      <c r="C38"/>
      <c r="D38"/>
      <c r="E38"/>
      <c r="F38"/>
      <c r="G38"/>
      <c r="H38"/>
    </row>
    <row r="39" ht="55.2" customHeight="1" spans="1:8">
      <c r="A39"/>
      <c r="B39"/>
      <c r="C39"/>
      <c r="D39"/>
      <c r="E39"/>
      <c r="F39"/>
      <c r="G39"/>
      <c r="H39"/>
    </row>
    <row r="40" ht="55.2" customHeight="1" spans="1:8">
      <c r="A40"/>
      <c r="B40"/>
      <c r="C40"/>
      <c r="D40"/>
      <c r="E40"/>
      <c r="F40"/>
      <c r="G40"/>
      <c r="H40"/>
    </row>
    <row r="41" ht="24" customHeight="1" spans="1:8">
      <c r="A41"/>
      <c r="B41"/>
      <c r="C41"/>
      <c r="D41"/>
      <c r="E41"/>
      <c r="F41"/>
      <c r="G41"/>
      <c r="H41"/>
    </row>
    <row r="42" ht="1.95" customHeight="1" spans="1:8">
      <c r="A42"/>
      <c r="B42"/>
      <c r="C42"/>
      <c r="D42"/>
      <c r="E42"/>
      <c r="F42"/>
    </row>
    <row r="43" ht="37.95" customHeight="1" spans="1:8">
      <c r="A43"/>
      <c r="B43"/>
      <c r="C43"/>
      <c r="D43"/>
      <c r="E43"/>
      <c r="F43"/>
    </row>
    <row r="44" ht="37.95" customHeight="1" spans="1:8">
      <c r="A44"/>
      <c r="B44"/>
      <c r="C44"/>
      <c r="D44"/>
      <c r="E44"/>
      <c r="F44"/>
    </row>
    <row r="45" ht="37.95" customHeight="1" spans="1:8">
      <c r="A45"/>
      <c r="B45"/>
      <c r="C45"/>
      <c r="D45"/>
      <c r="E45"/>
      <c r="F45"/>
    </row>
    <row r="46" ht="1.95" customHeight="1" spans="1:8">
      <c r="A46"/>
      <c r="B46"/>
      <c r="C46"/>
      <c r="D46"/>
      <c r="E46"/>
      <c r="F46"/>
    </row>
    <row r="47" ht="1.95" customHeight="1" spans="1:8">
      <c r="A47"/>
      <c r="B47"/>
      <c r="C47"/>
      <c r="D47"/>
      <c r="E47"/>
      <c r="F47"/>
    </row>
    <row r="48" ht="1.95" customHeight="1" spans="1:8">
      <c r="A48"/>
      <c r="B48"/>
      <c r="C48"/>
      <c r="D48"/>
      <c r="E48"/>
      <c r="F48"/>
    </row>
    <row r="49" ht="1.95" customHeight="1" spans="1:6">
      <c r="A49"/>
      <c r="B49"/>
      <c r="C49"/>
      <c r="D49"/>
      <c r="E49"/>
      <c r="F49"/>
    </row>
    <row r="50" ht="1.95" customHeight="1" spans="1:6">
      <c r="A50"/>
      <c r="B50"/>
      <c r="C50"/>
      <c r="D50"/>
      <c r="E50"/>
      <c r="F50"/>
    </row>
    <row r="51" ht="1.95" customHeight="1" spans="1:6">
      <c r="A51"/>
      <c r="B51"/>
      <c r="C51"/>
      <c r="D51"/>
      <c r="E51"/>
      <c r="F51"/>
    </row>
    <row r="52" ht="1.95" customHeight="1" spans="1:6">
      <c r="A52"/>
      <c r="B52"/>
      <c r="C52"/>
      <c r="D52"/>
      <c r="E52"/>
      <c r="F52"/>
    </row>
    <row r="53" ht="1.95" customHeight="1" spans="1:6">
      <c r="A53"/>
      <c r="B53"/>
      <c r="C53"/>
      <c r="D53"/>
      <c r="E53"/>
      <c r="F53"/>
    </row>
    <row r="54" ht="1.95" customHeight="1" spans="1:6">
      <c r="A54"/>
      <c r="B54"/>
      <c r="C54"/>
      <c r="D54"/>
      <c r="E54"/>
      <c r="F54"/>
    </row>
    <row r="55" ht="1.95" customHeight="1" spans="1:6">
      <c r="A55"/>
      <c r="B55"/>
      <c r="C55"/>
      <c r="D55"/>
      <c r="E55"/>
      <c r="F55"/>
    </row>
    <row r="56" ht="1.95" customHeight="1" spans="1:6">
      <c r="A56"/>
      <c r="B56"/>
      <c r="C56"/>
      <c r="D56"/>
      <c r="E56"/>
      <c r="F56"/>
    </row>
    <row r="57" ht="1.95" customHeight="1" spans="1:6">
      <c r="A57"/>
      <c r="B57"/>
      <c r="C57"/>
      <c r="D57"/>
      <c r="E57"/>
      <c r="F57"/>
    </row>
    <row r="58" ht="1.95" customHeight="1" spans="1:6">
      <c r="A58"/>
      <c r="B58"/>
      <c r="C58"/>
      <c r="D58"/>
      <c r="E58"/>
      <c r="F58"/>
    </row>
    <row r="59" ht="1.95" customHeight="1" spans="1:6">
      <c r="A59"/>
      <c r="B59"/>
      <c r="C59"/>
      <c r="D59"/>
      <c r="E59"/>
      <c r="F59"/>
    </row>
    <row r="60" ht="78" customHeight="1" spans="1:6">
      <c r="A60"/>
      <c r="B60"/>
      <c r="C60"/>
      <c r="D60"/>
      <c r="E60"/>
      <c r="F60"/>
    </row>
    <row r="61" ht="60" customHeight="1" spans="1:6">
      <c r="A61"/>
      <c r="B61"/>
      <c r="C61"/>
      <c r="D61"/>
      <c r="E61"/>
      <c r="F61"/>
    </row>
    <row r="62" ht="60" customHeight="1" spans="1:6">
      <c r="A62"/>
      <c r="B62"/>
      <c r="C62"/>
      <c r="D62"/>
      <c r="E62"/>
      <c r="F62"/>
    </row>
  </sheetData>
  <mergeCells count="74">
    <mergeCell ref="B4:F4"/>
    <mergeCell ref="A7:E7"/>
    <mergeCell ref="A8:E8"/>
    <mergeCell ref="A9:E9"/>
    <mergeCell ref="A10:E10"/>
    <mergeCell ref="B12:C12"/>
    <mergeCell ref="E12:F12"/>
    <mergeCell ref="G12:H12"/>
    <mergeCell ref="B13:C13"/>
    <mergeCell ref="E13:F13"/>
    <mergeCell ref="G13:H13"/>
    <mergeCell ref="B14:C14"/>
    <mergeCell ref="E14:F14"/>
    <mergeCell ref="G14:H14"/>
    <mergeCell ref="B15:C15"/>
    <mergeCell ref="E15:F15"/>
    <mergeCell ref="G15:H15"/>
    <mergeCell ref="B16:C16"/>
    <mergeCell ref="E16:F16"/>
    <mergeCell ref="G16:H16"/>
    <mergeCell ref="B17:C17"/>
    <mergeCell ref="E17:F17"/>
    <mergeCell ref="G17:H17"/>
    <mergeCell ref="B18:C18"/>
    <mergeCell ref="E18:F18"/>
    <mergeCell ref="G18:H18"/>
    <mergeCell ref="B19:C19"/>
    <mergeCell ref="E19:F19"/>
    <mergeCell ref="G19:H19"/>
    <mergeCell ref="B20:C20"/>
    <mergeCell ref="E20:F20"/>
    <mergeCell ref="G20:H20"/>
    <mergeCell ref="B21:C21"/>
    <mergeCell ref="E21:F21"/>
    <mergeCell ref="G21:H21"/>
    <mergeCell ref="B22:C22"/>
    <mergeCell ref="E22:F22"/>
    <mergeCell ref="G22:H22"/>
    <mergeCell ref="B23:C23"/>
    <mergeCell ref="E23:F23"/>
    <mergeCell ref="G23:H23"/>
    <mergeCell ref="B24:C24"/>
    <mergeCell ref="E24:F24"/>
    <mergeCell ref="G24:H24"/>
    <mergeCell ref="B25:C25"/>
    <mergeCell ref="E25:F25"/>
    <mergeCell ref="G25:H25"/>
    <mergeCell ref="B26:C26"/>
    <mergeCell ref="E26:F26"/>
    <mergeCell ref="G26:H26"/>
    <mergeCell ref="B27:C27"/>
    <mergeCell ref="E27:F27"/>
    <mergeCell ref="G27:H27"/>
    <mergeCell ref="B28:C28"/>
    <mergeCell ref="E28:F28"/>
    <mergeCell ref="G28:H28"/>
    <mergeCell ref="B29:C29"/>
    <mergeCell ref="E29:F29"/>
    <mergeCell ref="G29:H29"/>
    <mergeCell ref="B30:C30"/>
    <mergeCell ref="E30:F30"/>
    <mergeCell ref="G30:H30"/>
    <mergeCell ref="B31:C31"/>
    <mergeCell ref="E31:F31"/>
    <mergeCell ref="G31:H31"/>
    <mergeCell ref="B32:C32"/>
    <mergeCell ref="E32:F32"/>
    <mergeCell ref="G32:H32"/>
    <mergeCell ref="B33:C33"/>
    <mergeCell ref="E33:F33"/>
    <mergeCell ref="G33:H33"/>
    <mergeCell ref="F10:F11"/>
    <mergeCell ref="A1:F3"/>
    <mergeCell ref="A35:E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HM-Sales01</cp:lastModifiedBy>
  <dcterms:created xsi:type="dcterms:W3CDTF">2026-10-30T09:08:15Z</dcterms:created>
  <dcterms:modified xsi:type="dcterms:W3CDTF">2026-10-30T09:10:43Z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9FAB4F1E0E0546748072EC4748D179F9_12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