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43fbaed75466d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INV" sheetId="1" ns1:id="R77255b77dd414ea1"/>
  </ns0:sheets>
  <ns0:definedNames>
    <ns0:definedName name="_xlnm.Print_Area" localSheetId="0">'INV'!$A$1:$L$40</ns0:definedName>
  </ns0:definedNames>
</ns0:workbook>
</file>

<file path=xl/sharedStrings.xml><?xml version="1.0" encoding="utf-8"?>
<x:sst xmlns:x="http://schemas.openxmlformats.org/spreadsheetml/2006/main">
  <x:si>
    <x:t xml:space="preserve">CÔNG TY TNHH TOÀN CẦU HONG MING</x:t>
  </x:si>
  <x:si>
    <x:t xml:space="preserve">Lầu 2, số 68 Nguyễn Huệ, Phường Sài Gòn, Thành phố Hồ Chí Minh, Việt Nam</x:t>
  </x:si>
  <x:si>
    <x:t xml:space="preserve">TEL: +84966-687109  FAX:  +8863-3600770</x:t>
  </x:si>
  <x:si>
    <x:t xml:space="preserve">INVOICE</x:t>
  </x:si>
  <x:si>
    <x:t xml:space="preserve">INVOICE NO:</x:t>
  </x:si>
  <x:si>
    <x:t xml:space="preserve">TO MESSRS:</x:t>
  </x:si>
  <x:si>
    <x:t xml:space="preserve">PAYMENT TERM: 30% Deposit / 60% Installation / 10% Acceptance - TT30Day</x:t>
  </x:si>
  <x:si>
    <x:t xml:space="preserve">CÔNG TY TRÁCH NHIỆM HỮU HẠN SEIYO VIỆT NAM</x:t>
  </x:si>
  <x:si>
    <x:t xml:space="preserve">SHIPMENT TERM: By Road / Domestic</x:t>
  </x:si>
  <x:si>
    <x:t xml:space="preserve">Lô D1, khu công nghiệp Quế Võ, Phường Nam Sơn, Tỉnh Bắc Ninh, Việt Nam</x:t>
  </x:si>
  <x:si>
    <x:t xml:space="preserve">C/NO.:</x:t>
  </x:si>
  <x:si>
    <x:t xml:space="preserve">TEL:</x:t>
  </x:si>
  <x:si>
    <x:t xml:space="preserve">MAIL:</x:t>
  </x:si>
  <x:si>
    <x:t xml:space="preserve">FROM: HO CHI MINH, VIETNAM    TO: BAC NINH, VIETNAM</x:t>
  </x:si>
  <x:si>
    <x:t xml:space="preserve">ON BOARD DAY:</x:t>
  </x:si>
  <x:si>
    <x:t xml:space="preserve">CONTRACT NO.:</x:t>
  </x:si>
  <x:si>
    <x:t xml:space="preserve">L/C NO.:</x:t>
  </x:si>
  <x:si>
    <x:t xml:space="preserve">STT</x:t>
  </x:si>
  <x:si>
    <x:t xml:space="preserve">DESCRIPTION</x:t>
  </x:si>
  <x:si>
    <x:t xml:space="preserve">Product Description</x:t>
  </x:si>
  <x:si>
    <x:t xml:space="preserve">Xuất xứ</x:t>
  </x:si>
  <x:si>
    <x:t xml:space="preserve">Chất liệu kích thước</x:t>
  </x:si>
  <x:si>
    <x:t xml:space="preserve">Hình ảnh</x:t>
  </x:si>
  <x:si>
    <x:t xml:space="preserve">Quantity</x:t>
  </x:si>
  <x:si>
    <x:t xml:space="preserve">Unit Price VND</x:t>
  </x:si>
  <x:si>
    <x:t xml:space="preserve">Total Price</x:t>
  </x:si>
  <x:si>
    <x:r>
      <x:rPr>
        <x:b/>
        <x:sz val="12"/>
        <x:rFont val="Times New Roman"/>
      </x:rPr>
      <x:t xml:space="preserve">Số lượng
</x:t>
    </x:r>
    <x:r>
      <x:rPr>
        <x:b/>
        <x:sz val="12"/>
        <x:rFont val="Microsoft YaHei"/>
      </x:rPr>
      <x:t xml:space="preserve">數量</x:t>
    </x:r>
  </x:si>
  <x:si>
    <x:r>
      <x:rPr>
        <x:b/>
        <x:sz val="12"/>
        <x:rFont val="Times New Roman"/>
      </x:rPr>
      <x:t xml:space="preserve">Đơn Giá </x:t>
    </x:r>
    <x:r>
      <x:rPr>
        <x:b/>
        <x:sz val="12"/>
        <x:rFont val="Microsoft YaHei"/>
      </x:rPr>
      <x:t xml:space="preserve">單價</x:t>
    </x:r>
  </x:si>
  <x:si>
    <x:r>
      <x:rPr>
        <x:b/>
        <x:sz val="12"/>
        <x:color rgb="FF000000"/>
        <x:rFont val="Aptos Narrow"/>
      </x:rPr>
      <x:t xml:space="preserve">T</x:t>
    </x:r>
    <x:r>
      <x:rPr>
        <x:b/>
        <x:sz val="12"/>
        <x:color rgb="FF000000"/>
        <x:rFont val="Times New Roman"/>
      </x:rPr>
      <x:t xml:space="preserve">ổng Giá </x:t>
    </x:r>
    <x:r>
      <x:rPr>
        <x:b/>
        <x:sz val="12"/>
        <x:color rgb="FF000000"/>
        <x:rFont val="Microsoft YaHei"/>
      </x:rPr>
      <x:t xml:space="preserve">總價</x:t>
    </x:r>
  </x:si>
  <x:si>
    <x:t xml:space="preserve">1) Phần cứng triển khai mạng kết nối máy móc SMB / SMB系統機聯網網路佈建硬體</x:t>
  </x:si>
  <x:si>
    <x:t xml:space="preserve">Tủ mạng 6U
6U 壁掛機櫃</x:t>
  </x:si>
  <x:si>
    <x:t xml:space="preserve">Tủ mạng 6U, màu đen, D500
6U 黑色壁掛機櫃，深度500mm</x:t>
  </x:si>
  <x:si>
    <x:t xml:space="preserve">Tủ mạng 6U, màu đen, D500
6U黑色网络机柜，深度500mm
(Khu A*2, Khu C*2, Khu D*2, Khu H*1)</x:t>
  </x:si>
  <x:si>
    <x:t xml:space="preserve">7 CÁI</x:t>
  </x:si>
  <x:si>
    <x:t xml:space="preserve">Ổ cắm PDU
電源排插</x:t>
  </x:si>
  <x:si>
    <x:t xml:space="preserve">Ổ cắm điện PDU 6 cổng
機架式電源排插 6孔</x:t>
  </x:si>
  <x:si>
    <x:t xml:space="preserve">機架式電源排插 6孔  PDU 6 port
Khu A*2, Khu C*2, Khu D*2, Khu H*1</x:t>
  </x:si>
  <x:si>
    <x:t xml:space="preserve">Phích cắm
插頭</x:t>
  </x:si>
  <x:si>
    <x:t xml:space="preserve">Phích cắm CN 1P-16A
插頭 CN 1P-16A</x:t>
  </x:si>
  <x:si>
    <x:t xml:space="preserve">Phích cắm CN 1P-16A 插座、插头 CN 1P-16A
Khu A*2, Khu C*2, Khu D*2, Khu H*1; B&amp;R CDT Khu A*1, Khu C*1, Khu D*2</x:t>
  </x:si>
  <x:si>
    <x:t xml:space="preserve">11 CÁI</x:t>
  </x:si>
  <x:si>
    <x:t xml:space="preserve">Thanh cáp ngang
水平理線架</x:t>
  </x:si>
  <x:si>
    <x:t xml:space="preserve">Thanh quản lý cáp mạng ngang
水平理線架</x:t>
  </x:si>
  <x:si>
    <x:t xml:space="preserve">Thanh quản lý cáp mạng ngang
水平理线架 (Khu A*2, Khu C*2, Khu D*2, Khu H*1)</x:t>
  </x:si>
  <x:si>
    <x:t xml:space="preserve">Switch quản lý
管理型交換器</x:t>
  </x:si>
  <x:si>
    <x:t xml:space="preserve">Switch 24 cổng Gigabit + 4 SFP TL-SG3428
24埠 Gigabit + 4埠 SFP 交換器</x:t>
  </x:si>
  <x:si>
    <x:t xml:space="preserve">Bộ chia mạng 24 cổng Gigabit + 4 cổng SFP TL-SG3428 交換器 24 port Gigabit + 4 port SFP TL-SG3428 (Khu H*1)</x:t>
  </x:si>
  <x:si>
    <x:t xml:space="preserve">1 CÁI</x:t>
  </x:si>
  <x:si>
    <x:t xml:space="preserve">Switch 16 cổng Gigabit + 2 SFP TL-SG2218
16埠 Gigabit + 2埠 SFP 交換器</x:t>
  </x:si>
  <x:si>
    <x:t xml:space="preserve">Bộ chia mạng 16 cổng Gigabit + 2 cổng SFP TL-SG2218 交換器 16 port Gigabit + 2 port SFP TL-SG2218 (Khu A*2, Khu C*2, Khu F*1)</x:t>
  </x:si>
  <x:si>
    <x:t xml:space="preserve">5 CÁI</x:t>
  </x:si>
  <x:si>
    <x:t xml:space="preserve">Bộ nguồn 24V
24V 電源</x:t>
  </x:si>
  <x:si>
    <x:t xml:space="preserve">Bộ nguồn 24V DC HDR-150-24
24V DC 電源轉換器 HDR-150-24</x:t>
  </x:si>
  <x:si>
    <x:t xml:space="preserve">Bộ chuyển đổi nguồn 24V DC HDR-150-24
电源转换器 24V DC HDR-150-24</x:t>
  </x:si>
  <x:si>
    <x:t xml:space="preserve">4 CÁI</x:t>
  </x:si>
  <x:si>
    <x:t xml:space="preserve">Hộp đấu nối
接線盒</x:t>
  </x:si>
  <x:si>
    <x:t xml:space="preserve">Hộp đấu nối sắt 500×400×150mm
鐵製接線盒 500×400×150mm</x:t>
  </x:si>
  <x:si>
    <x:t xml:space="preserve">Hộp đấu nối 500*400*150mm (sắt)
接线盒 500x400x150mm (铁制)</x:t>
  </x:si>
  <x:si>
    <x:t xml:space="preserve">Bộ đổi quang điện
光電轉換器</x:t>
  </x:si>
  <x:si>
    <x:t xml:space="preserve">Bộ chuyển đổi quang điện 10/100/1000
光電轉換器 1G</x:t>
  </x:si>
  <x:si>
    <x:t xml:space="preserve">Bộ chuyển đổi quang điện 10/100/1000
Converter quang 1G 光纤转换器</x:t>
  </x:si>
  <x:si>
    <x:t xml:space="preserve">6 CÁI</x:t>
  </x:si>
  <x:si>
    <x:t xml:space="preserve">Module quang
光纖模組</x:t>
  </x:si>
  <x:si>
    <x:t xml:space="preserve">Module quang SFP GBIC-1.25G
光纖模組 SFP GBIC-1.25G</x:t>
  </x:si>
  <x:si>
    <x:t xml:space="preserve">Modul quang GBIC-1.25G
SFP GBIC-1.25G</x:t>
  </x:si>
  <x:si>
    <x:t xml:space="preserve">8 CÁI</x:t>
  </x:si>
  <x:si>
    <x:t xml:space="preserve">2) Vật tư tiêu hao và thi công mạng kết nối máy móc SMB / SMB系統機聯網網路佈建耗材與施工</x:t>
  </x:si>
  <x:si>
    <x:t xml:space="preserve">Dây điện
電線</x:t>
  </x:si>
  <x:si>
    <x:t xml:space="preserve">Dây điện Cu/PVC/PVC 3C×1,5mm², 350m
電線 Cu/PVC/PVC 3C×1.5mm²，350米</x:t>
  </x:si>
  <x:si>
    <x:t xml:space="preserve">Cu/PVC/PVC 3C*1.5mm² - 350m
电线 Cu/PVC/PVC 3C*1.5mm² - 350米
(Cấp nguồn cho tủ mạng từ nguồn điện gần nhất 從最近的電源引電給機櫃（網路櫃）供電)</x:t>
  </x:si>
  <x:si>
    <x:t xml:space="preserve">1 LÔ (350 m)</x:t>
  </x:si>
  <x:si>
    <x:t xml:space="preserve">Cáp quang
光纖纜線</x:t>
  </x:si>
  <x:si>
    <x:t xml:space="preserve">Cáp quang SM 4FO, 960m
單模4芯光纖纜線，960米</x:t>
  </x:si>
  <x:si>
    <x:t xml:space="preserve">4芯光纤布线工程 SM 4Fo , 960m
 Fiber optic 4-fiber, SM 4Fo, 960m
(Cáp quang nối tiếp các tủ trong khu A, C, D về tủ trung tâm 10U Kết nối tủ H về tủ F. A、C、D 區各機櫃的光纖串接回 10U 核心中心機櫃；H 櫃連接回 F 櫃)</x:t>
  </x:si>
  <x:si>
    <x:t xml:space="preserve">1 LÔ (960 m)</x:t>
  </x:si>
  <x:si>
    <x:t xml:space="preserve">Hộp ODF
光纖熔接盤</x:t>
  </x:si>
  <x:si>
    <x:t xml:space="preserve">Hộp ODF 24 khớp SC đôi, cố định, 1U / 光纖熔接盤 24埠，雙SC，1U</x:t>
  </x:si>
  <x:si>
    <x:t xml:space="preserve">Hộp đấu nối sợi quang SM, 24 khớp nối SC đôi, dạng cố định, 1U 光纤熔接盘 ODF 24 port (Tủ trung tâm 10U*1)</x:t>
  </x:si>
  <x:si>
    <x:t xml:space="preserve">Hộp ODF 8 khớp SC đôi / 光纖熔接盤 8埠，雙SC</x:t>
  </x:si>
  <x:si>
    <x:t xml:space="preserve">Hộp đấu nối sợi quang SM, 8 khớp nối SC đôi
光纤熔接盘 ODF 8 port (Tủ A1, C1, D1)</x:t>
  </x:si>
  <x:si>
    <x:t xml:space="preserve">3 CÁI</x:t>
  </x:si>
  <x:si>
    <x:t xml:space="preserve">ODF 4 cổng
4埠光纖熔接盤</x:t>
  </x:si>
  <x:si>
    <x:t xml:space="preserve">Hộp ODF 4 khớp SC đôi / 光纖熔接盤 4埠，雙SC</x:t>
  </x:si>
  <x:si>
    <x:t xml:space="preserve">Hộp đấu nối sợi quang SM, 4 khớp nối SC đôi
光纤熔接盘 ODF 4 port (Tủ A2, C2, D2, H, F)</x:t>
  </x:si>
  <x:si>
    <x:t xml:space="preserve">Vật tư và dịch vụ
材料與服務</x:t>
  </x:si>
  <x:si>
    <x:t xml:space="preserve">Dây nhảy quang SC/LC 3m / 光纖跳線 SC/LC，3米</x:t>
  </x:si>
  <x:si>
    <x:t xml:space="preserve">Dây nhảy quang SC/LC 3m
SC/LC光纤跳线 3m</x:t>
  </x:si>
  <x:si>
    <x:t xml:space="preserve">14 CÁI</x:t>
  </x:si>
  <x:si>
    <x:t xml:space="preserve">Cáp mạng CAT6 UTP, 4 đôi / CAT6 UTP 網路線，4對</x:t>
  </x:si>
  <x:si>
    <x:t xml:space="preserve">Cáp mạng cat6
网路线 Category 6 UTP Cable, 4-Pair (Tổng 54 máy ở khu vực A*11, C*9, D*7, E*6, F*12, H*9 (GĐ II): Net AIPC *60 ;  Khu A*1, Khu C*1, Khu D*2 CDT B&amp;R cung cấp)</x:t>
  </x:si>
  <x:si>
    <x:t xml:space="preserve">13 HỘP</x:t>
  </x:si>
  <x:si>
    <x:t xml:space="preserve">Ống PVC D25, D20, tổng 2.100m / PVC 管 D25、D20，共2,100米</x:t>
  </x:si>
  <x:si>
    <x:t xml:space="preserve">Ống PVC D25, D20 , 2100m
PVC 管 D25, D20 , 2100m</x:t>
  </x:si>
  <x:si>
    <x:t xml:space="preserve">1 LÔ (2.100 m)</x:t>
  </x:si>
  <x:si>
    <x:t xml:space="preserve">Máng cáp có nắp 100×100×1,2mm, 30m / 附蓋電纜槽 100×100×1.2mm，30米</x:t>
  </x:si>
  <x:si>
    <x:t xml:space="preserve">Máng cáp 100x100*1,2 có nắp , 30m
电缆槽 100x100*1,2 带盖 , 30m</x:t>
  </x:si>
  <x:si>
    <x:t xml:space="preserve">1 LÔ (30 m)</x:t>
  </x:si>
  <x:si>
    <x:t xml:space="preserve">Vật tư phụ: đầu cút, ốc vít, băng dính, ruột gà / 配件：接頭、螺絲、膠帶、軟管等</x:t>
  </x:si>
  <x:si>
    <x:t xml:space="preserve">Vật tư phụ (đầu cút, ốc vít, băng dính, ruột gà nhựa...)
配件（接头、螺丝、胶带、软管。。。）</x:t>
  </x:si>
  <x:si>
    <x:t xml:space="preserve">1 LÔ</x:t>
  </x:si>
  <x:si>
    <x:t xml:space="preserve">Chi phí thi công / 施工費</x:t>
  </x:si>
  <x:si>
    <x:t xml:space="preserve">Bao gồm nội dung 內容包含：
- Nhân công hàn quang 光纤熔接费
- Cài đặt hệ thống 系統設定
- Lắp đặt phần cứng 硬件安裝
- Hiệu chỉnh chức năng 功能調適
- 'Phí quản lý, vận chuyển 管理, 运费
- Thiết kế bản vẽ hoàn công 设计, 竣工图费用
- Chi phí đi lại, giàn giáo, dụng cụ an toàn …交通费, 鹰架…</x:t>
  </x:si>
  <x:si>
    <x:t xml:space="preserve">1 GÓI</x:t>
  </x:si>
  <x:si>
    <x:t xml:space="preserve">TỔNG / 總價</x:t>
  </x:si>
</x:sst>
</file>

<file path=xl/styles.xml><?xml version="1.0" encoding="utf-8"?>
<x:styleSheet xmlns:x="http://schemas.openxmlformats.org/spreadsheetml/2006/main">
  <x:numFmts count="5">
    <x:numFmt numFmtId="176" formatCode="_ * #,##0.00_ ;_ * \-#,##0.00_ ;_ * &quot;-&quot;??_ ;_ @_ "/>
    <x:numFmt numFmtId="177" formatCode="_-* #,##0.00\ &quot;₫&quot;_-;\-* #,##0.00\ &quot;₫&quot;_-;_-* &quot;-&quot;??\ &quot;₫&quot;_-;_-@_-"/>
    <x:numFmt numFmtId="178" formatCode="_ * #,##0_ ;_ * \-#,##0_ ;_ * &quot;-&quot;_ ;_ @_ "/>
    <x:numFmt numFmtId="179" formatCode="_-* #,##0\ &quot;₫&quot;_-;\-* #,##0\ &quot;₫&quot;_-;_-* &quot;-&quot;\ &quot;₫&quot;_-;_-@_-"/>
    <x:numFmt numFmtId="180" formatCode="_-* #,##0_-;\-* #,##0_-;_-* \-_-;_-@_-"/>
  </x:numFmts>
  <x:fonts count="46">
    <x:font>
      <x:sz val="11"/>
      <x:color theme="1"/>
      <x:name val="Aptos Narrow"/>
    </x:font>
    <x:font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22"/>
      <x:name val="Times New Roman"/>
    </x:font>
    <x:font>
      <x:b/>
      <x:sz val="12"/>
      <x:name val="Times New Roman"/>
    </x:font>
    <x:font>
      <x:b/>
      <x:sz val="12"/>
      <x:color rgb="FF953734"/>
      <x:name val="Times New Roman"/>
    </x:font>
    <x:font>
      <x:sz val="12"/>
      <x:color theme="1"/>
      <x:name val="Times New Roman"/>
    </x:font>
    <x:font>
      <x:sz val="12"/>
      <x:color rgb="FF000000"/>
      <x:name val="Times New Roman"/>
    </x:font>
    <x:font>
      <x:sz val="12"/>
      <x:color theme="1"/>
      <x:name val="Times New Roman"/>
    </x:font>
    <x:font>
      <x:sz val="11"/>
      <x:color rgb="FF000000"/>
      <x:name val="Times New Roman"/>
    </x:font>
    <x:font>
      <x:b/>
      <x:sz val="12"/>
      <x:color rgb="FF000000"/>
      <x:name val="Times New Roman"/>
    </x:font>
    <x:font>
      <x:sz val="12"/>
      <x:color rgb="FF000000"/>
      <x:name val="Arial"/>
    </x:font>
    <x:font>
      <x:sz val="12"/>
      <x:color rgb="FF454955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sz val="11"/>
      <x:color theme="1"/>
      <x:name val="Aptos Narrow"/>
    </x:font>
    <x:font>
      <x:sz val="11"/>
      <x:color theme="1"/>
      <x:name val="Aptos Narrow"/>
    </x:font>
    <x:font>
      <x:sz val="11"/>
      <x:color theme="1"/>
      <x:name val="Calibri"/>
    </x:font>
    <x:font>
      <x:sz val="12"/>
      <x:name val="VNI-Times"/>
    </x:font>
    <x:font>
      <x:sz val="12"/>
      <x:name val="新細明體"/>
    </x:font>
    <x:font>
      <x:b/>
      <x:sz val="12"/>
      <x:name val="Microsoft YaHei"/>
    </x:font>
    <x:font>
      <x:b/>
      <x:sz val="12"/>
      <x:color rgb="FF000000"/>
      <x:name val="Aptos Narrow"/>
    </x:font>
    <x:font>
      <x:b/>
      <x:sz val="12"/>
      <x:color rgb="FF000000"/>
      <x:name val="Microsoft YaHei"/>
    </x:font>
    <x:font>
      <x:sz val="11"/>
      <x:color theme="1"/>
      <x:name val="Aptos Narrow"/>
      <x:family val="2"/>
    </x:font>
    <x:font>
      <x:sz val="11"/>
      <x:name val="Times New Roman"/>
      <x:family val="1"/>
    </x:font>
    <x:font>
      <x:b/>
      <x:sz val="11"/>
      <x:name val="Times New Roman"/>
      <x:family val="1"/>
    </x:font>
    <x:font>
      <x:b/>
      <x:sz val="22"/>
      <x:name val="Times New Roman"/>
      <x:family val="1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6">
    <x:xf numFmtId="0" fontId="0" fillId="0" borderId="0">
      <x:alignment vertical="center"/>
    </x:xf>
    <x:xf numFmtId="176" fontId="14" fillId="0" borderId="0" applyFont="0" applyFill="0" applyBorder="0" applyAlignment="0" applyProtection="0">
      <x:alignment vertical="center"/>
    </x:xf>
    <x:xf numFmtId="177" fontId="14" fillId="0" borderId="0" applyFont="0" applyFill="0" applyBorder="0" applyAlignment="0" applyProtection="0">
      <x:alignment vertical="center"/>
    </x:xf>
    <x:xf numFmtId="9" fontId="14" fillId="0" borderId="0" applyFont="0" applyFill="0" applyBorder="0" applyAlignment="0" applyProtection="0">
      <x:alignment vertical="center"/>
    </x:xf>
    <x:xf numFmtId="178" fontId="14" fillId="0" borderId="0" applyFont="0" applyFill="0" applyBorder="0" applyAlignment="0" applyProtection="0">
      <x:alignment vertical="center"/>
    </x:xf>
    <x:xf numFmtId="179" fontId="14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4" fillId="3" borderId="15" applyNumberFormat="0" applyFont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16" applyNumberFormat="0" applyFill="0" applyAlignment="0" applyProtection="0">
      <x:alignment vertical="center"/>
    </x:xf>
    <x:xf numFmtId="0" fontId="21" fillId="0" borderId="16" applyNumberFormat="0" applyFill="0" applyAlignment="0" applyProtection="0">
      <x:alignment vertical="center"/>
    </x:xf>
    <x:xf numFmtId="0" fontId="22" fillId="0" borderId="17" applyNumberFormat="0" applyFill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4" borderId="18" applyNumberFormat="0" applyAlignment="0" applyProtection="0">
      <x:alignment vertical="center"/>
    </x:xf>
    <x:xf numFmtId="0" fontId="24" fillId="5" borderId="19" applyNumberFormat="0" applyAlignment="0" applyProtection="0">
      <x:alignment vertical="center"/>
    </x:xf>
    <x:xf numFmtId="0" fontId="25" fillId="5" borderId="18" applyNumberFormat="0" applyAlignment="0" applyProtection="0">
      <x:alignment vertical="center"/>
    </x:xf>
    <x:xf numFmtId="0" fontId="26" fillId="6" borderId="20" applyNumberFormat="0" applyAlignment="0" applyProtection="0">
      <x:alignment vertical="center"/>
    </x:xf>
    <x:xf numFmtId="0" fontId="27" fillId="0" borderId="21" applyNumberFormat="0" applyFill="0" applyAlignment="0" applyProtection="0">
      <x:alignment vertical="center"/>
    </x:xf>
    <x:xf numFmtId="0" fontId="28" fillId="0" borderId="22" applyNumberFormat="0" applyFill="0" applyAlignment="0" applyProtection="0">
      <x:alignment vertical="center"/>
    </x:xf>
    <x:xf numFmtId="0" fontId="29" fillId="7" borderId="0" applyNumberFormat="0" applyBorder="0" applyAlignment="0" applyProtection="0">
      <x:alignment vertical="center"/>
    </x:xf>
    <x:xf numFmtId="0" fontId="30" fillId="8" borderId="0" applyNumberFormat="0" applyBorder="0" applyAlignment="0" applyProtection="0">
      <x:alignment vertical="center"/>
    </x:xf>
    <x:xf numFmtId="0" fontId="31" fillId="9" borderId="0" applyNumberFormat="0" applyBorder="0" applyAlignment="0" applyProtection="0">
      <x:alignment vertical="center"/>
    </x:xf>
    <x:xf numFmtId="0" fontId="32" fillId="10" borderId="0" applyNumberFormat="0" applyBorder="0" applyAlignment="0" applyProtection="0">
      <x:alignment vertical="center"/>
    </x:xf>
    <x:xf numFmtId="0" fontId="33" fillId="11" borderId="0" applyNumberFormat="0" applyBorder="0" applyAlignment="0" applyProtection="0">
      <x:alignment vertical="center"/>
    </x:xf>
    <x:xf numFmtId="0" fontId="33" fillId="12" borderId="0" applyNumberFormat="0" applyBorder="0" applyAlignment="0" applyProtection="0">
      <x:alignment vertical="center"/>
    </x:xf>
    <x:xf numFmtId="0" fontId="32" fillId="13" borderId="0" applyNumberFormat="0" applyBorder="0" applyAlignment="0" applyProtection="0">
      <x:alignment vertical="center"/>
    </x:xf>
    <x:xf numFmtId="0" fontId="32" fillId="14" borderId="0" applyNumberFormat="0" applyBorder="0" applyAlignment="0" applyProtection="0">
      <x:alignment vertical="center"/>
    </x:xf>
    <x:xf numFmtId="0" fontId="33" fillId="15" borderId="0" applyNumberFormat="0" applyBorder="0" applyAlignment="0" applyProtection="0">
      <x:alignment vertical="center"/>
    </x:xf>
    <x:xf numFmtId="0" fontId="33" fillId="16" borderId="0" applyNumberFormat="0" applyBorder="0" applyAlignment="0" applyProtection="0">
      <x:alignment vertical="center"/>
    </x:xf>
    <x:xf numFmtId="0" fontId="32" fillId="17" borderId="0" applyNumberFormat="0" applyBorder="0" applyAlignment="0" applyProtection="0">
      <x:alignment vertical="center"/>
    </x:xf>
    <x:xf numFmtId="0" fontId="32" fillId="18" borderId="0" applyNumberFormat="0" applyBorder="0" applyAlignment="0" applyProtection="0">
      <x:alignment vertical="center"/>
    </x:xf>
    <x:xf numFmtId="0" fontId="33" fillId="19" borderId="0" applyNumberFormat="0" applyBorder="0" applyAlignment="0" applyProtection="0">
      <x:alignment vertical="center"/>
    </x:xf>
    <x:xf numFmtId="0" fontId="33" fillId="20" borderId="0" applyNumberFormat="0" applyBorder="0" applyAlignment="0" applyProtection="0">
      <x:alignment vertical="center"/>
    </x:xf>
    <x:xf numFmtId="0" fontId="32" fillId="21" borderId="0" applyNumberFormat="0" applyBorder="0" applyAlignment="0" applyProtection="0">
      <x:alignment vertical="center"/>
    </x:xf>
    <x:xf numFmtId="0" fontId="32" fillId="22" borderId="0" applyNumberFormat="0" applyBorder="0" applyAlignment="0" applyProtection="0">
      <x:alignment vertical="center"/>
    </x:xf>
    <x:xf numFmtId="0" fontId="33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32" fillId="25" borderId="0" applyNumberFormat="0" applyBorder="0" applyAlignment="0" applyProtection="0">
      <x:alignment vertical="center"/>
    </x:xf>
    <x:xf numFmtId="0" fontId="32" fillId="26" borderId="0" applyNumberFormat="0" applyBorder="0" applyAlignment="0" applyProtection="0">
      <x:alignment vertical="center"/>
    </x:xf>
    <x:xf numFmtId="0" fontId="33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32" fillId="29" borderId="0" applyNumberFormat="0" applyBorder="0" applyAlignment="0" applyProtection="0">
      <x:alignment vertical="center"/>
    </x:xf>
    <x:xf numFmtId="0" fontId="32" fillId="30" borderId="0" applyNumberFormat="0" applyBorder="0" applyAlignment="0" applyProtection="0">
      <x:alignment vertical="center"/>
    </x:xf>
    <x:xf numFmtId="0" fontId="33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2" fillId="33" borderId="0" applyNumberFormat="0" applyBorder="0" applyAlignment="0" applyProtection="0">
      <x:alignment vertical="center"/>
    </x:xf>
    <x:xf numFmtId="0" fontId="34" fillId="0" borderId="0">
      <x:alignment vertical="center"/>
    </x:xf>
    <x:xf numFmtId="180" fontId="35" fillId="0" borderId="0" applyBorder="0" applyProtection="0">
      <x:alignment vertical="center"/>
    </x:xf>
    <x:xf numFmtId="0" fontId="36" fillId="0" borderId="0"/>
    <x:xf numFmtId="0" fontId="37" fillId="0" borderId="0"/>
    <x:xf numFmtId="0" fontId="38" fillId="0" borderId="0"/>
    <x:xf numFmtId="0" fontId="37" fillId="0" borderId="0"/>
    <x:xf numFmtId="0" fontId="42" fillId="0" borderId="0">
      <x:alignment vertical="center"/>
    </x:xf>
  </x:cellStyleXfs>
  <x:cellXfs count="68">
    <x:xf numFmtId="0" fontId="0" fillId="0" borderId="0" xfId="0">
      <x:alignment vertical="center"/>
    </x:xf>
    <x:xf numFmtId="0" fontId="1" fillId="2" borderId="0" xfId="49" applyFont="1" applyFill="1">
      <x:alignment vertical="center"/>
    </x:xf>
    <x:xf numFmtId="0" fontId="1" fillId="2" borderId="0" xfId="53" applyFont="1" applyFill="1" applyAlignment="1">
      <x:alignment vertical="center"/>
    </x:xf>
    <x:xf numFmtId="0" fontId="2" fillId="2" borderId="0" xfId="49" applyFont="1" applyFill="1">
      <x:alignment vertical="center"/>
    </x:xf>
    <x:xf numFmtId="0" fontId="2" fillId="2" borderId="0" xfId="49" applyFont="1" applyFill="1" applyAlignment="1">
      <x:alignment horizontal="left" vertical="center"/>
    </x:xf>
    <x:xf numFmtId="0" fontId="2" fillId="2" borderId="0" xfId="49" applyFont="1" applyFill="1" applyAlignment="1">
      <x:alignment horizontal="center" vertical="center"/>
    </x:xf>
    <x:xf numFmtId="0" fontId="2" fillId="2" borderId="0" xfId="49" applyFont="1" applyFill="1" applyAlignment="1">
      <x:alignment horizontal="right" vertical="center"/>
    </x:xf>
    <x:xf numFmtId="0" fontId="3" fillId="2" borderId="0" xfId="49" applyFont="1" applyFill="1" applyAlignment="1">
      <x:alignment horizontal="center" vertical="center"/>
    </x:xf>
    <x:xf numFmtId="0" fontId="3" fillId="2" borderId="0" xfId="49" applyFont="1" applyFill="1">
      <x:alignment vertical="center"/>
    </x:xf>
    <x:xf numFmtId="0" fontId="3" fillId="2" borderId="0" xfId="49" applyFont="1" applyFill="1" applyAlignment="1">
      <x:alignment horizontal="left" vertical="center"/>
    </x:xf>
    <x:xf numFmtId="0" fontId="3" fillId="2" borderId="0" xfId="49" applyFont="1" applyFill="1" applyAlignment="1">
      <x:alignment horizontal="right" vertical="center"/>
    </x:xf>
    <x:xf numFmtId="0" fontId="3" fillId="2" borderId="0" xfId="49" applyFont="1" applyFill="1" applyAlignment="1">
      <x:alignment vertical="center" wrapText="1"/>
    </x:xf>
    <x:xf numFmtId="0" fontId="3" fillId="2" borderId="0" xfId="49" applyFont="1" applyFill="1" applyAlignment="1">
      <x:alignment horizontal="left" vertical="center" wrapText="1"/>
    </x:xf>
    <x:xf numFmtId="0" fontId="3" fillId="2" borderId="0" xfId="49" applyFont="1" applyFill="1" applyAlignment="1">
      <x:alignment horizontal="center" vertical="center" wrapText="1"/>
    </x:xf>
    <x:xf numFmtId="0" fontId="3" fillId="2" borderId="0" xfId="49" applyFont="1" applyFill="1" applyAlignment="1">
      <x:alignment horizontal="left" vertical="top" wrapText="1"/>
    </x:xf>
    <x:xf numFmtId="0" fontId="4" fillId="2" borderId="0" xfId="49" applyFont="1" applyFill="1" applyAlignment="1">
      <x:alignment horizontal="center" vertical="center"/>
    </x:xf>
    <x:xf numFmtId="0" fontId="3" fillId="2" borderId="0" xfId="49" applyFont="1" applyFill="1" applyAlignment="1">
      <x:alignment horizontal="center" vertical="top" wrapText="1"/>
    </x:xf>
    <x:xf numFmtId="0" fontId="5" fillId="2" borderId="1" xfId="49" applyFont="1" applyFill="1" applyBorder="1" applyAlignment="1">
      <x:alignment horizontal="center" vertical="center" wrapText="1"/>
    </x:xf>
    <x:xf numFmtId="0" fontId="5" fillId="2" borderId="1" xfId="49" applyFont="1" applyFill="1" applyBorder="1" applyAlignment="1">
      <x:alignment horizontal="center" vertical="center"/>
    </x:xf>
    <x:xf numFmtId="0" fontId="5" fillId="2" borderId="2" xfId="49" applyFont="1" applyFill="1" applyBorder="1" applyAlignment="1">
      <x:alignment horizontal="center" vertical="center"/>
    </x:xf>
    <x:xf numFmtId="0" fontId="5" fillId="2" borderId="3" xfId="49" applyFont="1" applyFill="1" applyBorder="1" applyAlignment="1">
      <x:alignment horizontal="center" vertical="center"/>
    </x:xf>
    <x:xf numFmtId="0" fontId="5" fillId="2" borderId="4" xfId="49" applyFont="1" applyFill="1" applyBorder="1" applyAlignment="1">
      <x:alignment horizontal="center" vertical="center"/>
    </x:xf>
    <x:xf numFmtId="0" fontId="5" fillId="2" borderId="5" xfId="49" applyFont="1" applyFill="1" applyBorder="1" applyAlignment="1">
      <x:alignment horizontal="center" vertical="center" wrapText="1"/>
    </x:xf>
    <x:xf numFmtId="0" fontId="5" fillId="2" borderId="1" xfId="49" applyFont="1" applyFill="1" applyBorder="1" applyAlignment="1">
      <x:alignment horizontal="right" vertical="center"/>
    </x:xf>
    <x:xf numFmtId="0" fontId="5" fillId="2" borderId="6" xfId="49" applyFont="1" applyFill="1" applyBorder="1" applyAlignment="1">
      <x:alignment horizontal="center" vertical="center"/>
    </x:xf>
    <x:xf numFmtId="0" fontId="5" fillId="2" borderId="7" xfId="49" applyFont="1" applyFill="1" applyBorder="1" applyAlignment="1">
      <x:alignment horizontal="center" vertical="center"/>
    </x:xf>
    <x:xf numFmtId="0" fontId="5" fillId="2" borderId="8" xfId="49" applyFont="1" applyFill="1" applyBorder="1" applyAlignment="1">
      <x:alignment horizontal="center" vertical="center"/>
    </x:xf>
    <x:xf numFmtId="0" fontId="5" fillId="2" borderId="9" xfId="49" applyFont="1" applyFill="1" applyBorder="1" applyAlignment="1">
      <x:alignment horizontal="center" vertical="center" wrapText="1"/>
    </x:xf>
    <x:xf numFmtId="0" fontId="5" fillId="2" borderId="1" xfId="49" applyFont="1" applyFill="1" applyBorder="1" applyAlignment="1">
      <x:alignment horizontal="left" vertical="center"/>
    </x:xf>
    <x:xf numFmtId="0" fontId="6" fillId="2" borderId="1" xfId="49" applyFont="1" applyFill="1" applyBorder="1" applyAlignment="1">
      <x:alignment horizontal="left" vertical="center" wrapText="1"/>
    </x:xf>
    <x:xf numFmtId="0" fontId="7" fillId="2" borderId="10" xfId="49" applyFont="1" applyFill="1" applyBorder="1" applyAlignment="1">
      <x:alignment vertical="center" wrapText="1"/>
    </x:xf>
    <x:xf numFmtId="0" fontId="8" fillId="2" borderId="1" xfId="49" applyFont="1" applyFill="1" applyBorder="1" applyAlignment="1">
      <x:alignment horizontal="center" vertical="center" wrapText="1"/>
    </x:xf>
    <x:xf numFmtId="0" fontId="8" fillId="2" borderId="1" xfId="49" applyFont="1" applyFill="1" applyBorder="1" applyAlignment="1">
      <x:alignment vertical="center" wrapText="1"/>
    </x:xf>
    <x:xf numFmtId="0" fontId="8" fillId="2" borderId="11" xfId="49" applyFont="1" applyFill="1" applyBorder="1" applyAlignment="1">
      <x:alignment horizontal="left" vertical="center"/>
    </x:xf>
    <x:xf numFmtId="0" fontId="8" fillId="2" borderId="12" xfId="49" applyFont="1" applyFill="1" applyBorder="1" applyAlignment="1">
      <x:alignment horizontal="left" vertical="center"/>
    </x:xf>
    <x:xf numFmtId="0" fontId="8" fillId="2" borderId="13" xfId="49" applyFont="1" applyFill="1" applyBorder="1" applyAlignment="1">
      <x:alignment horizontal="left" vertical="center"/>
    </x:xf>
    <x:xf numFmtId="0" fontId="8" fillId="2" borderId="2" xfId="49" applyFont="1" applyFill="1" applyBorder="1" applyAlignment="1">
      <x:alignment horizontal="center" vertical="center" wrapText="1"/>
    </x:xf>
    <x:xf numFmtId="1" fontId="9" fillId="0" borderId="1" xfId="54" applyNumberFormat="1" applyFont="1" applyBorder="1" applyAlignment="1">
      <x:alignment horizontal="left" vertical="center" wrapText="1"/>
    </x:xf>
    <x:xf numFmtId="0" fontId="8" fillId="2" borderId="13" xfId="49" applyFont="1" applyFill="1" applyBorder="1" applyAlignment="1">
      <x:alignment horizontal="center" vertical="center" wrapText="1"/>
    </x:xf>
    <x:xf numFmtId="3" fontId="8" fillId="2" borderId="1" xfId="49" applyNumberFormat="1" applyFont="1" applyFill="1" applyBorder="1" applyAlignment="1">
      <x:alignment horizontal="right" vertical="center" wrapText="1"/>
    </x:xf>
    <x:xf numFmtId="0" fontId="8" fillId="2" borderId="11" xfId="49" applyFont="1" applyFill="1" applyBorder="1" applyAlignment="1">
      <x:alignment horizontal="center" vertical="center" wrapText="1"/>
    </x:xf>
    <x:xf numFmtId="0" fontId="8" fillId="2" borderId="6" xfId="49" applyFont="1" applyFill="1" applyBorder="1" applyAlignment="1">
      <x:alignment horizontal="center" vertical="center" wrapText="1"/>
    </x:xf>
    <x:xf numFmtId="0" fontId="8" fillId="2" borderId="9" xfId="49" applyFont="1" applyFill="1" applyBorder="1" applyAlignment="1">
      <x:alignment horizontal="center" vertical="center" wrapText="1"/>
    </x:xf>
    <x:xf numFmtId="0" fontId="8" fillId="2" borderId="11" xfId="49" applyFont="1" applyFill="1" applyBorder="1" applyAlignment="1">
      <x:alignment horizontal="left" vertical="center" wrapText="1"/>
    </x:xf>
    <x:xf numFmtId="0" fontId="8" fillId="2" borderId="12" xfId="49" applyFont="1" applyFill="1" applyBorder="1" applyAlignment="1">
      <x:alignment horizontal="left" vertical="center" wrapText="1"/>
    </x:xf>
    <x:xf numFmtId="0" fontId="8" fillId="2" borderId="13" xfId="49" applyFont="1" applyFill="1" applyBorder="1" applyAlignment="1">
      <x:alignment horizontal="left" vertical="center" wrapText="1"/>
    </x:xf>
    <x:xf numFmtId="0" fontId="10" fillId="2" borderId="1" xfId="49" applyFont="1" applyFill="1" applyBorder="1" applyAlignment="1">
      <x:alignment horizontal="center" vertical="center" wrapText="1"/>
    </x:xf>
    <x:xf numFmtId="0" fontId="8" fillId="2" borderId="12" xfId="49" applyFont="1" applyFill="1" applyBorder="1" applyAlignment="1">
      <x:alignment horizontal="center" vertical="center" wrapText="1"/>
    </x:xf>
    <x:xf numFmtId="0" fontId="7" fillId="2" borderId="14" xfId="49" applyFont="1" applyFill="1" applyBorder="1" applyAlignment="1">
      <x:alignment horizontal="left" vertical="center" wrapText="1"/>
    </x:xf>
    <x:xf numFmtId="0" fontId="11" fillId="2" borderId="1" xfId="49" applyFont="1" applyFill="1" applyBorder="1" applyAlignment="1">
      <x:alignment horizontal="left" vertical="center" wrapText="1"/>
    </x:xf>
    <x:xf numFmtId="0" fontId="12" fillId="0" borderId="0" xfId="0" applyFont="1" applyAlignment="1">
      <x:alignment vertical="center" wrapText="1"/>
    </x:xf>
    <x:xf numFmtId="0" fontId="13" fillId="0" borderId="0" xfId="0" applyFont="1" applyAlignment="1">
      <x:alignment vertical="center" wrapText="1"/>
    </x:xf>
    <x:xf numFmtId="3" fontId="10" fillId="2" borderId="1" xfId="49" applyNumberFormat="1" applyFont="1" applyFill="1" applyBorder="1" applyAlignment="1">
      <x:alignment horizontal="right" vertical="center" wrapText="1"/>
    </x:xf>
    <x:xf numFmtId="0" fontId="8" fillId="2" borderId="11" xfId="0" applyFont="1" applyFill="1" applyBorder="1" applyAlignment="1">
      <x:alignment horizontal="center" vertical="center" wrapText="1"/>
    </x:xf>
    <x:xf numFmtId="0" fontId="8" fillId="2" borderId="12" xfId="0" applyFont="1" applyFill="1" applyBorder="1" applyAlignment="1">
      <x:alignment horizontal="center" vertical="center" wrapText="1"/>
    </x:xf>
    <x:xf numFmtId="0" fontId="8" fillId="2" borderId="13" xfId="0" applyFont="1" applyFill="1" applyBorder="1" applyAlignment="1">
      <x:alignment horizontal="center" vertical="center" wrapText="1"/>
    </x:xf>
    <x:xf numFmtId="3" fontId="10" fillId="2" borderId="1" xfId="0" applyNumberFormat="1" applyFont="1" applyFill="1" applyBorder="1" applyAlignment="1">
      <x:alignment horizontal="right" vertical="center" wrapText="1"/>
    </x:xf>
    <x:xf numFmtId="3" fontId="8" fillId="2" borderId="1" xfId="0" applyNumberFormat="1" applyFont="1" applyFill="1" applyBorder="1" applyAlignment="1">
      <x:alignment horizontal="right" vertical="center" wrapText="1"/>
    </x:xf>
    <x:xf numFmtId="0" fontId="43" fillId="2" borderId="0" xfId="55" applyFont="1" applyFill="1">
      <x:alignment vertical="center"/>
    </x:xf>
    <x:xf numFmtId="0" fontId="44" fillId="2" borderId="0" xfId="55" applyFont="1" applyFill="1" applyAlignment="1">
      <x:alignment vertical="center" wrapText="1"/>
    </x:xf>
    <x:xf numFmtId="0" fontId="44" fillId="2" borderId="0" xfId="55" applyFont="1" applyFill="1" applyAlignment="1">
      <x:alignment horizontal="center" vertical="center"/>
    </x:xf>
    <x:xf numFmtId="0" fontId="44" fillId="2" borderId="0" xfId="55" applyFont="1" applyFill="1" applyAlignment="1">
      <x:alignment horizontal="left" vertical="center" wrapText="1"/>
    </x:xf>
    <x:xf numFmtId="0" fontId="44" fillId="2" borderId="0" xfId="55" applyFont="1" applyFill="1">
      <x:alignment vertical="center"/>
    </x:xf>
    <x:xf numFmtId="0" fontId="44" fillId="2" borderId="0" xfId="55" applyFont="1" applyFill="1" applyAlignment="1">
      <x:alignment horizontal="left" vertical="center"/>
    </x:xf>
    <x:xf numFmtId="0" fontId="44" fillId="2" borderId="0" xfId="55" applyFont="1" applyFill="1" applyAlignment="1">
      <x:alignment horizontal="right" vertical="center"/>
    </x:xf>
    <x:xf numFmtId="0" fontId="45" fillId="2" borderId="0" xfId="55" applyFont="1" applyFill="1" applyAlignment="1">
      <x:alignment horizontal="center" vertical="center"/>
    </x:xf>
    <x:xf numFmtId="0" fontId="44" fillId="2" borderId="0" xfId="55" applyFont="1" applyFill="1" applyAlignment="1">
      <x:alignment horizontal="center" vertical="center" wrapText="1"/>
    </x:xf>
    <x:xf numFmtId="0" fontId="44" fillId="2" borderId="0" xfId="55" applyFont="1" applyFill="1" applyAlignment="1">
      <x:alignment horizontal="center" vertical="top" wrapText="1"/>
    </x:xf>
  </x:cellXfs>
  <x:cellStyles count="55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  <x:cellStyle name="Bình thường" xfId="49"/>
    <x:cellStyle name="Dấu phẩy [0]" xfId="50"/>
    <x:cellStyle name="Normal 2" xfId="51"/>
    <x:cellStyle name="Normal 7" xfId="52"/>
    <x:cellStyle name="一般 2" xfId="53"/>
    <x:cellStyle name="一般 4 10" xfId="54"/>
  </x:cellStyles>
  <x:dxfs count="1">
    <x:dxf>
      <x:fill>
        <x:patternFill>
          <x:bgColor theme="6" tint="0.79998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CCCCC"/>
      <x:rgbColor rgb="00808080"/>
      <x:rgbColor rgb="009999FF"/>
      <x:rgbColor rgb="00953734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2F1C8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8316bc69f4215" /><Relationship Type="http://schemas.openxmlformats.org/officeDocument/2006/relationships/theme" Target="/xl/theme/theme1.xml" Id="R1f59fd91ffa24890" /><Relationship Type="http://schemas.openxmlformats.org/officeDocument/2006/relationships/sharedStrings" Target="/xl/sharedStrings.xml" Id="Rf08b1386eef448fe" /><Relationship Type="http://schemas.openxmlformats.org/officeDocument/2006/relationships/worksheet" Target="/xl/worksheets/sheet1.xml" Id="R77255b77dd414ea1" /></Relationships>
</file>

<file path=xl/drawings/drawing1.xml><?xml version="1.0" encoding="utf-8"?>
<xdr:wsDr xmlns:xdr="http://schemas.openxmlformats.org/drawingml/2006/spreadsheetDrawing">
  <xdr:twoCellAnchor editAs="oneCell">
    <xdr:from>
      <xdr:col>8</xdr:col>
      <xdr:colOff>0</xdr:colOff>
      <xdr:row>33</xdr:row>
      <xdr:rowOff>0</xdr:rowOff>
    </xdr:from>
    <xdr:to>
      <xdr:col>10</xdr:col>
      <xdr:colOff>559697</xdr:colOff>
      <xdr:row>34</xdr:row>
      <xdr:rowOff>131175</xdr:rowOff>
    </xdr:to>
    <xdr:sp>
      <xdr:nvSpPr>
        <xdr:cNvPr id="1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152255" y="7042785"/>
          <a:ext cx="1973580" cy="51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689962513246ea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FormatPr defaultColWidth="9" defaultRowHeight="13.800000190734863"/>
  <ns0:cols>
    <ns0:col min="1" max="1" width="6.441666603088379" style="3" customWidth="1"/>
    <ns0:col min="2" max="2" width="18.558332443237305" style="3" customWidth="1"/>
    <ns0:col min="3" max="3" width="22" style="3" customWidth="1"/>
    <ns0:col min="4" max="4" width="21.66666603088379" style="4" customWidth="1"/>
    <ns0:col min="5" max="5" width="37.44166564941406" style="4" customWidth="1"/>
    <ns0:col min="6" max="6" width="14" style="5" customWidth="1"/>
    <ns0:col min="7" max="7" width="18.558332443237305" style="5" hidden="1" customWidth="1"/>
    <ns0:col min="8" max="8" width="55.44166564941406" style="5" hidden="1" customWidth="1"/>
    <ns0:col min="9" max="9" width="26" style="5" hidden="1" customWidth="1"/>
    <ns0:col min="10" max="10" width="18.558332443237305" style="5" customWidth="1"/>
    <ns0:col min="11" max="11" width="15.108333587646484" style="3" customWidth="1"/>
    <ns0:col min="12" max="12" width="16.66666603088379" style="6" customWidth="1"/>
    <ns0:col min="13" max="13" width="5.333333492279053" style="3" customWidth="1"/>
    <ns0:col min="14" max="17" width="9" style="3" hidden="1" customWidth="1"/>
    <ns0:col min="18" max="244" width="9" style="3" customWidth="0"/>
    <ns0:col min="245" max="246" width="22" style="3" customWidth="1"/>
    <ns0:col min="247" max="247" width="52.66666793823242" style="3" customWidth="1"/>
    <ns0:col min="248" max="248" width="13.108333587646484" style="3" customWidth="1"/>
    <ns0:col min="249" max="249" width="12.666666984558105" style="3" customWidth="1"/>
    <ns0:col min="250" max="250" width="26.441667556762695" style="3" customWidth="1"/>
    <ns0:col min="251" max="251" width="33.108333587646484" style="3" customWidth="1"/>
    <ns0:col min="252" max="252" width="3.1083333492279053" style="3" customWidth="1"/>
    <ns0:col min="253" max="253" width="30" style="3" customWidth="1"/>
    <ns0:col min="254" max="500" width="9" style="3" customWidth="0"/>
    <ns0:col min="501" max="502" width="22" style="3" customWidth="1"/>
    <ns0:col min="503" max="503" width="52.66666793823242" style="3" customWidth="1"/>
    <ns0:col min="504" max="504" width="13.108333587646484" style="3" customWidth="1"/>
    <ns0:col min="505" max="505" width="12.666666984558105" style="3" customWidth="1"/>
    <ns0:col min="506" max="506" width="26.441667556762695" style="3" customWidth="1"/>
    <ns0:col min="507" max="507" width="33.108333587646484" style="3" customWidth="1"/>
    <ns0:col min="508" max="508" width="3.1083333492279053" style="3" customWidth="1"/>
    <ns0:col min="509" max="509" width="30" style="3" customWidth="1"/>
    <ns0:col min="510" max="756" width="9" style="3" customWidth="0"/>
    <ns0:col min="757" max="758" width="22" style="3" customWidth="1"/>
    <ns0:col min="759" max="759" width="52.66666793823242" style="3" customWidth="1"/>
    <ns0:col min="760" max="760" width="13.108333587646484" style="3" customWidth="1"/>
    <ns0:col min="761" max="761" width="12.666666984558105" style="3" customWidth="1"/>
    <ns0:col min="762" max="762" width="26.441667556762695" style="3" customWidth="1"/>
    <ns0:col min="763" max="763" width="33.108333587646484" style="3" customWidth="1"/>
    <ns0:col min="764" max="764" width="3.1083333492279053" style="3" customWidth="1"/>
    <ns0:col min="765" max="765" width="30" style="3" customWidth="1"/>
    <ns0:col min="766" max="1012" width="9" style="3" customWidth="0"/>
    <ns0:col min="1013" max="1014" width="22" style="3" customWidth="1"/>
    <ns0:col min="1015" max="1015" width="52.66666793823242" style="3" customWidth="1"/>
    <ns0:col min="1016" max="1016" width="13.108333587646484" style="3" customWidth="1"/>
    <ns0:col min="1017" max="1017" width="12.666666984558105" style="3" customWidth="1"/>
    <ns0:col min="1018" max="1018" width="26.441667556762695" style="3" customWidth="1"/>
    <ns0:col min="1019" max="1019" width="33.108333587646484" style="3" customWidth="1"/>
    <ns0:col min="1020" max="1020" width="3.1083333492279053" style="3" customWidth="1"/>
    <ns0:col min="1021" max="1021" width="30" style="3" customWidth="1"/>
    <ns0:col min="1022" max="1268" width="9" style="3" customWidth="0"/>
    <ns0:col min="1269" max="1270" width="22" style="3" customWidth="1"/>
    <ns0:col min="1271" max="1271" width="52.66666793823242" style="3" customWidth="1"/>
    <ns0:col min="1272" max="1272" width="13.108333587646484" style="3" customWidth="1"/>
    <ns0:col min="1273" max="1273" width="12.666666984558105" style="3" customWidth="1"/>
    <ns0:col min="1274" max="1274" width="26.441667556762695" style="3" customWidth="1"/>
    <ns0:col min="1275" max="1275" width="33.108333587646484" style="3" customWidth="1"/>
    <ns0:col min="1276" max="1276" width="3.1083333492279053" style="3" customWidth="1"/>
    <ns0:col min="1277" max="1277" width="30" style="3" customWidth="1"/>
    <ns0:col min="1278" max="1524" width="9" style="3" customWidth="0"/>
    <ns0:col min="1525" max="1526" width="22" style="3" customWidth="1"/>
    <ns0:col min="1527" max="1527" width="52.66666793823242" style="3" customWidth="1"/>
    <ns0:col min="1528" max="1528" width="13.108333587646484" style="3" customWidth="1"/>
    <ns0:col min="1529" max="1529" width="12.666666984558105" style="3" customWidth="1"/>
    <ns0:col min="1530" max="1530" width="26.441667556762695" style="3" customWidth="1"/>
    <ns0:col min="1531" max="1531" width="33.108333587646484" style="3" customWidth="1"/>
    <ns0:col min="1532" max="1532" width="3.1083333492279053" style="3" customWidth="1"/>
    <ns0:col min="1533" max="1533" width="30" style="3" customWidth="1"/>
    <ns0:col min="1534" max="1780" width="9" style="3" customWidth="0"/>
    <ns0:col min="1781" max="1782" width="22" style="3" customWidth="1"/>
    <ns0:col min="1783" max="1783" width="52.66666793823242" style="3" customWidth="1"/>
    <ns0:col min="1784" max="1784" width="13.108333587646484" style="3" customWidth="1"/>
    <ns0:col min="1785" max="1785" width="12.666666984558105" style="3" customWidth="1"/>
    <ns0:col min="1786" max="1786" width="26.441667556762695" style="3" customWidth="1"/>
    <ns0:col min="1787" max="1787" width="33.108333587646484" style="3" customWidth="1"/>
    <ns0:col min="1788" max="1788" width="3.1083333492279053" style="3" customWidth="1"/>
    <ns0:col min="1789" max="1789" width="30" style="3" customWidth="1"/>
    <ns0:col min="1790" max="2036" width="9" style="3" customWidth="0"/>
    <ns0:col min="2037" max="2038" width="22" style="3" customWidth="1"/>
    <ns0:col min="2039" max="2039" width="52.66666793823242" style="3" customWidth="1"/>
    <ns0:col min="2040" max="2040" width="13.108333587646484" style="3" customWidth="1"/>
    <ns0:col min="2041" max="2041" width="12.666666984558105" style="3" customWidth="1"/>
    <ns0:col min="2042" max="2042" width="26.441667556762695" style="3" customWidth="1"/>
    <ns0:col min="2043" max="2043" width="33.108333587646484" style="3" customWidth="1"/>
    <ns0:col min="2044" max="2044" width="3.1083333492279053" style="3" customWidth="1"/>
    <ns0:col min="2045" max="2045" width="30" style="3" customWidth="1"/>
    <ns0:col min="2046" max="2292" width="9" style="3" customWidth="0"/>
    <ns0:col min="2293" max="2294" width="22" style="3" customWidth="1"/>
    <ns0:col min="2295" max="2295" width="52.66666793823242" style="3" customWidth="1"/>
    <ns0:col min="2296" max="2296" width="13.108333587646484" style="3" customWidth="1"/>
    <ns0:col min="2297" max="2297" width="12.666666984558105" style="3" customWidth="1"/>
    <ns0:col min="2298" max="2298" width="26.441667556762695" style="3" customWidth="1"/>
    <ns0:col min="2299" max="2299" width="33.108333587646484" style="3" customWidth="1"/>
    <ns0:col min="2300" max="2300" width="3.1083333492279053" style="3" customWidth="1"/>
    <ns0:col min="2301" max="2301" width="30" style="3" customWidth="1"/>
    <ns0:col min="2302" max="2548" width="9" style="3" customWidth="0"/>
    <ns0:col min="2549" max="2550" width="22" style="3" customWidth="1"/>
    <ns0:col min="2551" max="2551" width="52.66666793823242" style="3" customWidth="1"/>
    <ns0:col min="2552" max="2552" width="13.108333587646484" style="3" customWidth="1"/>
    <ns0:col min="2553" max="2553" width="12.666666984558105" style="3" customWidth="1"/>
    <ns0:col min="2554" max="2554" width="26.441667556762695" style="3" customWidth="1"/>
    <ns0:col min="2555" max="2555" width="33.108333587646484" style="3" customWidth="1"/>
    <ns0:col min="2556" max="2556" width="3.1083333492279053" style="3" customWidth="1"/>
    <ns0:col min="2557" max="2557" width="30" style="3" customWidth="1"/>
    <ns0:col min="2558" max="2804" width="9" style="3" customWidth="0"/>
    <ns0:col min="2805" max="2806" width="22" style="3" customWidth="1"/>
    <ns0:col min="2807" max="2807" width="52.66666793823242" style="3" customWidth="1"/>
    <ns0:col min="2808" max="2808" width="13.108333587646484" style="3" customWidth="1"/>
    <ns0:col min="2809" max="2809" width="12.666666984558105" style="3" customWidth="1"/>
    <ns0:col min="2810" max="2810" width="26.441667556762695" style="3" customWidth="1"/>
    <ns0:col min="2811" max="2811" width="33.108333587646484" style="3" customWidth="1"/>
    <ns0:col min="2812" max="2812" width="3.1083333492279053" style="3" customWidth="1"/>
    <ns0:col min="2813" max="2813" width="30" style="3" customWidth="1"/>
    <ns0:col min="2814" max="3060" width="9" style="3" customWidth="0"/>
    <ns0:col min="3061" max="3062" width="22" style="3" customWidth="1"/>
    <ns0:col min="3063" max="3063" width="52.66666793823242" style="3" customWidth="1"/>
    <ns0:col min="3064" max="3064" width="13.108333587646484" style="3" customWidth="1"/>
    <ns0:col min="3065" max="3065" width="12.666666984558105" style="3" customWidth="1"/>
    <ns0:col min="3066" max="3066" width="26.441667556762695" style="3" customWidth="1"/>
    <ns0:col min="3067" max="3067" width="33.108333587646484" style="3" customWidth="1"/>
    <ns0:col min="3068" max="3068" width="3.1083333492279053" style="3" customWidth="1"/>
    <ns0:col min="3069" max="3069" width="30" style="3" customWidth="1"/>
    <ns0:col min="3070" max="3316" width="9" style="3" customWidth="0"/>
    <ns0:col min="3317" max="3318" width="22" style="3" customWidth="1"/>
    <ns0:col min="3319" max="3319" width="52.66666793823242" style="3" customWidth="1"/>
    <ns0:col min="3320" max="3320" width="13.108333587646484" style="3" customWidth="1"/>
    <ns0:col min="3321" max="3321" width="12.666666984558105" style="3" customWidth="1"/>
    <ns0:col min="3322" max="3322" width="26.441667556762695" style="3" customWidth="1"/>
    <ns0:col min="3323" max="3323" width="33.108333587646484" style="3" customWidth="1"/>
    <ns0:col min="3324" max="3324" width="3.1083333492279053" style="3" customWidth="1"/>
    <ns0:col min="3325" max="3325" width="30" style="3" customWidth="1"/>
    <ns0:col min="3326" max="3572" width="9" style="3" customWidth="0"/>
    <ns0:col min="3573" max="3574" width="22" style="3" customWidth="1"/>
    <ns0:col min="3575" max="3575" width="52.66666793823242" style="3" customWidth="1"/>
    <ns0:col min="3576" max="3576" width="13.108333587646484" style="3" customWidth="1"/>
    <ns0:col min="3577" max="3577" width="12.666666984558105" style="3" customWidth="1"/>
    <ns0:col min="3578" max="3578" width="26.441667556762695" style="3" customWidth="1"/>
    <ns0:col min="3579" max="3579" width="33.108333587646484" style="3" customWidth="1"/>
    <ns0:col min="3580" max="3580" width="3.1083333492279053" style="3" customWidth="1"/>
    <ns0:col min="3581" max="3581" width="30" style="3" customWidth="1"/>
    <ns0:col min="3582" max="3828" width="9" style="3" customWidth="0"/>
    <ns0:col min="3829" max="3830" width="22" style="3" customWidth="1"/>
    <ns0:col min="3831" max="3831" width="52.66666793823242" style="3" customWidth="1"/>
    <ns0:col min="3832" max="3832" width="13.108333587646484" style="3" customWidth="1"/>
    <ns0:col min="3833" max="3833" width="12.666666984558105" style="3" customWidth="1"/>
    <ns0:col min="3834" max="3834" width="26.441667556762695" style="3" customWidth="1"/>
    <ns0:col min="3835" max="3835" width="33.108333587646484" style="3" customWidth="1"/>
    <ns0:col min="3836" max="3836" width="3.1083333492279053" style="3" customWidth="1"/>
    <ns0:col min="3837" max="3837" width="30" style="3" customWidth="1"/>
    <ns0:col min="3838" max="4084" width="9" style="3" customWidth="0"/>
    <ns0:col min="4085" max="4086" width="22" style="3" customWidth="1"/>
    <ns0:col min="4087" max="4087" width="52.66666793823242" style="3" customWidth="1"/>
    <ns0:col min="4088" max="4088" width="13.108333587646484" style="3" customWidth="1"/>
    <ns0:col min="4089" max="4089" width="12.666666984558105" style="3" customWidth="1"/>
    <ns0:col min="4090" max="4090" width="26.441667556762695" style="3" customWidth="1"/>
    <ns0:col min="4091" max="4091" width="33.108333587646484" style="3" customWidth="1"/>
    <ns0:col min="4092" max="4092" width="3.1083333492279053" style="3" customWidth="1"/>
    <ns0:col min="4093" max="4093" width="30" style="3" customWidth="1"/>
    <ns0:col min="4094" max="4340" width="9" style="3" customWidth="0"/>
    <ns0:col min="4341" max="4342" width="22" style="3" customWidth="1"/>
    <ns0:col min="4343" max="4343" width="52.66666793823242" style="3" customWidth="1"/>
    <ns0:col min="4344" max="4344" width="13.108333587646484" style="3" customWidth="1"/>
    <ns0:col min="4345" max="4345" width="12.666666984558105" style="3" customWidth="1"/>
    <ns0:col min="4346" max="4346" width="26.441667556762695" style="3" customWidth="1"/>
    <ns0:col min="4347" max="4347" width="33.108333587646484" style="3" customWidth="1"/>
    <ns0:col min="4348" max="4348" width="3.1083333492279053" style="3" customWidth="1"/>
    <ns0:col min="4349" max="4349" width="30" style="3" customWidth="1"/>
    <ns0:col min="4350" max="4596" width="9" style="3" customWidth="0"/>
    <ns0:col min="4597" max="4598" width="22" style="3" customWidth="1"/>
    <ns0:col min="4599" max="4599" width="52.66666793823242" style="3" customWidth="1"/>
    <ns0:col min="4600" max="4600" width="13.108333587646484" style="3" customWidth="1"/>
    <ns0:col min="4601" max="4601" width="12.666666984558105" style="3" customWidth="1"/>
    <ns0:col min="4602" max="4602" width="26.441667556762695" style="3" customWidth="1"/>
    <ns0:col min="4603" max="4603" width="33.108333587646484" style="3" customWidth="1"/>
    <ns0:col min="4604" max="4604" width="3.1083333492279053" style="3" customWidth="1"/>
    <ns0:col min="4605" max="4605" width="30" style="3" customWidth="1"/>
    <ns0:col min="4606" max="4852" width="9" style="3" customWidth="0"/>
    <ns0:col min="4853" max="4854" width="22" style="3" customWidth="1"/>
    <ns0:col min="4855" max="4855" width="52.66666793823242" style="3" customWidth="1"/>
    <ns0:col min="4856" max="4856" width="13.108333587646484" style="3" customWidth="1"/>
    <ns0:col min="4857" max="4857" width="12.666666984558105" style="3" customWidth="1"/>
    <ns0:col min="4858" max="4858" width="26.441667556762695" style="3" customWidth="1"/>
    <ns0:col min="4859" max="4859" width="33.108333587646484" style="3" customWidth="1"/>
    <ns0:col min="4860" max="4860" width="3.1083333492279053" style="3" customWidth="1"/>
    <ns0:col min="4861" max="4861" width="30" style="3" customWidth="1"/>
    <ns0:col min="4862" max="5108" width="9" style="3" customWidth="0"/>
    <ns0:col min="5109" max="5110" width="22" style="3" customWidth="1"/>
    <ns0:col min="5111" max="5111" width="52.66666793823242" style="3" customWidth="1"/>
    <ns0:col min="5112" max="5112" width="13.108333587646484" style="3" customWidth="1"/>
    <ns0:col min="5113" max="5113" width="12.666666984558105" style="3" customWidth="1"/>
    <ns0:col min="5114" max="5114" width="26.441667556762695" style="3" customWidth="1"/>
    <ns0:col min="5115" max="5115" width="33.108333587646484" style="3" customWidth="1"/>
    <ns0:col min="5116" max="5116" width="3.1083333492279053" style="3" customWidth="1"/>
    <ns0:col min="5117" max="5117" width="30" style="3" customWidth="1"/>
    <ns0:col min="5118" max="5364" width="9" style="3" customWidth="0"/>
    <ns0:col min="5365" max="5366" width="22" style="3" customWidth="1"/>
    <ns0:col min="5367" max="5367" width="52.66666793823242" style="3" customWidth="1"/>
    <ns0:col min="5368" max="5368" width="13.108333587646484" style="3" customWidth="1"/>
    <ns0:col min="5369" max="5369" width="12.666666984558105" style="3" customWidth="1"/>
    <ns0:col min="5370" max="5370" width="26.441667556762695" style="3" customWidth="1"/>
    <ns0:col min="5371" max="5371" width="33.108333587646484" style="3" customWidth="1"/>
    <ns0:col min="5372" max="5372" width="3.1083333492279053" style="3" customWidth="1"/>
    <ns0:col min="5373" max="5373" width="30" style="3" customWidth="1"/>
    <ns0:col min="5374" max="5620" width="9" style="3" customWidth="0"/>
    <ns0:col min="5621" max="5622" width="22" style="3" customWidth="1"/>
    <ns0:col min="5623" max="5623" width="52.66666793823242" style="3" customWidth="1"/>
    <ns0:col min="5624" max="5624" width="13.108333587646484" style="3" customWidth="1"/>
    <ns0:col min="5625" max="5625" width="12.666666984558105" style="3" customWidth="1"/>
    <ns0:col min="5626" max="5626" width="26.441667556762695" style="3" customWidth="1"/>
    <ns0:col min="5627" max="5627" width="33.108333587646484" style="3" customWidth="1"/>
    <ns0:col min="5628" max="5628" width="3.1083333492279053" style="3" customWidth="1"/>
    <ns0:col min="5629" max="5629" width="30" style="3" customWidth="1"/>
    <ns0:col min="5630" max="5876" width="9" style="3" customWidth="0"/>
    <ns0:col min="5877" max="5878" width="22" style="3" customWidth="1"/>
    <ns0:col min="5879" max="5879" width="52.66666793823242" style="3" customWidth="1"/>
    <ns0:col min="5880" max="5880" width="13.108333587646484" style="3" customWidth="1"/>
    <ns0:col min="5881" max="5881" width="12.666666984558105" style="3" customWidth="1"/>
    <ns0:col min="5882" max="5882" width="26.441667556762695" style="3" customWidth="1"/>
    <ns0:col min="5883" max="5883" width="33.108333587646484" style="3" customWidth="1"/>
    <ns0:col min="5884" max="5884" width="3.1083333492279053" style="3" customWidth="1"/>
    <ns0:col min="5885" max="5885" width="30" style="3" customWidth="1"/>
    <ns0:col min="5886" max="6132" width="9" style="3" customWidth="0"/>
    <ns0:col min="6133" max="6134" width="22" style="3" customWidth="1"/>
    <ns0:col min="6135" max="6135" width="52.66666793823242" style="3" customWidth="1"/>
    <ns0:col min="6136" max="6136" width="13.108333587646484" style="3" customWidth="1"/>
    <ns0:col min="6137" max="6137" width="12.666666984558105" style="3" customWidth="1"/>
    <ns0:col min="6138" max="6138" width="26.441667556762695" style="3" customWidth="1"/>
    <ns0:col min="6139" max="6139" width="33.108333587646484" style="3" customWidth="1"/>
    <ns0:col min="6140" max="6140" width="3.1083333492279053" style="3" customWidth="1"/>
    <ns0:col min="6141" max="6141" width="30" style="3" customWidth="1"/>
    <ns0:col min="6142" max="6388" width="9" style="3" customWidth="0"/>
    <ns0:col min="6389" max="6390" width="22" style="3" customWidth="1"/>
    <ns0:col min="6391" max="6391" width="52.66666793823242" style="3" customWidth="1"/>
    <ns0:col min="6392" max="6392" width="13.108333587646484" style="3" customWidth="1"/>
    <ns0:col min="6393" max="6393" width="12.666666984558105" style="3" customWidth="1"/>
    <ns0:col min="6394" max="6394" width="26.441667556762695" style="3" customWidth="1"/>
    <ns0:col min="6395" max="6395" width="33.108333587646484" style="3" customWidth="1"/>
    <ns0:col min="6396" max="6396" width="3.1083333492279053" style="3" customWidth="1"/>
    <ns0:col min="6397" max="6397" width="30" style="3" customWidth="1"/>
    <ns0:col min="6398" max="6644" width="9" style="3" customWidth="0"/>
    <ns0:col min="6645" max="6646" width="22" style="3" customWidth="1"/>
    <ns0:col min="6647" max="6647" width="52.66666793823242" style="3" customWidth="1"/>
    <ns0:col min="6648" max="6648" width="13.108333587646484" style="3" customWidth="1"/>
    <ns0:col min="6649" max="6649" width="12.666666984558105" style="3" customWidth="1"/>
    <ns0:col min="6650" max="6650" width="26.441667556762695" style="3" customWidth="1"/>
    <ns0:col min="6651" max="6651" width="33.108333587646484" style="3" customWidth="1"/>
    <ns0:col min="6652" max="6652" width="3.1083333492279053" style="3" customWidth="1"/>
    <ns0:col min="6653" max="6653" width="30" style="3" customWidth="1"/>
    <ns0:col min="6654" max="6900" width="9" style="3" customWidth="0"/>
    <ns0:col min="6901" max="6902" width="22" style="3" customWidth="1"/>
    <ns0:col min="6903" max="6903" width="52.66666793823242" style="3" customWidth="1"/>
    <ns0:col min="6904" max="6904" width="13.108333587646484" style="3" customWidth="1"/>
    <ns0:col min="6905" max="6905" width="12.666666984558105" style="3" customWidth="1"/>
    <ns0:col min="6906" max="6906" width="26.441667556762695" style="3" customWidth="1"/>
    <ns0:col min="6907" max="6907" width="33.108333587646484" style="3" customWidth="1"/>
    <ns0:col min="6908" max="6908" width="3.1083333492279053" style="3" customWidth="1"/>
    <ns0:col min="6909" max="6909" width="30" style="3" customWidth="1"/>
    <ns0:col min="6910" max="7156" width="9" style="3" customWidth="0"/>
    <ns0:col min="7157" max="7158" width="22" style="3" customWidth="1"/>
    <ns0:col min="7159" max="7159" width="52.66666793823242" style="3" customWidth="1"/>
    <ns0:col min="7160" max="7160" width="13.108333587646484" style="3" customWidth="1"/>
    <ns0:col min="7161" max="7161" width="12.666666984558105" style="3" customWidth="1"/>
    <ns0:col min="7162" max="7162" width="26.441667556762695" style="3" customWidth="1"/>
    <ns0:col min="7163" max="7163" width="33.108333587646484" style="3" customWidth="1"/>
    <ns0:col min="7164" max="7164" width="3.1083333492279053" style="3" customWidth="1"/>
    <ns0:col min="7165" max="7165" width="30" style="3" customWidth="1"/>
    <ns0:col min="7166" max="7412" width="9" style="3" customWidth="0"/>
    <ns0:col min="7413" max="7414" width="22" style="3" customWidth="1"/>
    <ns0:col min="7415" max="7415" width="52.66666793823242" style="3" customWidth="1"/>
    <ns0:col min="7416" max="7416" width="13.108333587646484" style="3" customWidth="1"/>
    <ns0:col min="7417" max="7417" width="12.666666984558105" style="3" customWidth="1"/>
    <ns0:col min="7418" max="7418" width="26.441667556762695" style="3" customWidth="1"/>
    <ns0:col min="7419" max="7419" width="33.108333587646484" style="3" customWidth="1"/>
    <ns0:col min="7420" max="7420" width="3.1083333492279053" style="3" customWidth="1"/>
    <ns0:col min="7421" max="7421" width="30" style="3" customWidth="1"/>
    <ns0:col min="7422" max="7668" width="9" style="3" customWidth="0"/>
    <ns0:col min="7669" max="7670" width="22" style="3" customWidth="1"/>
    <ns0:col min="7671" max="7671" width="52.66666793823242" style="3" customWidth="1"/>
    <ns0:col min="7672" max="7672" width="13.108333587646484" style="3" customWidth="1"/>
    <ns0:col min="7673" max="7673" width="12.666666984558105" style="3" customWidth="1"/>
    <ns0:col min="7674" max="7674" width="26.441667556762695" style="3" customWidth="1"/>
    <ns0:col min="7675" max="7675" width="33.108333587646484" style="3" customWidth="1"/>
    <ns0:col min="7676" max="7676" width="3.1083333492279053" style="3" customWidth="1"/>
    <ns0:col min="7677" max="7677" width="30" style="3" customWidth="1"/>
    <ns0:col min="7678" max="7924" width="9" style="3" customWidth="0"/>
    <ns0:col min="7925" max="7926" width="22" style="3" customWidth="1"/>
    <ns0:col min="7927" max="7927" width="52.66666793823242" style="3" customWidth="1"/>
    <ns0:col min="7928" max="7928" width="13.108333587646484" style="3" customWidth="1"/>
    <ns0:col min="7929" max="7929" width="12.666666984558105" style="3" customWidth="1"/>
    <ns0:col min="7930" max="7930" width="26.441667556762695" style="3" customWidth="1"/>
    <ns0:col min="7931" max="7931" width="33.108333587646484" style="3" customWidth="1"/>
    <ns0:col min="7932" max="7932" width="3.1083333492279053" style="3" customWidth="1"/>
    <ns0:col min="7933" max="7933" width="30" style="3" customWidth="1"/>
    <ns0:col min="7934" max="8180" width="9" style="3" customWidth="0"/>
    <ns0:col min="8181" max="8182" width="22" style="3" customWidth="1"/>
    <ns0:col min="8183" max="8183" width="52.66666793823242" style="3" customWidth="1"/>
    <ns0:col min="8184" max="8184" width="13.108333587646484" style="3" customWidth="1"/>
    <ns0:col min="8185" max="8185" width="12.666666984558105" style="3" customWidth="1"/>
    <ns0:col min="8186" max="8186" width="26.441667556762695" style="3" customWidth="1"/>
    <ns0:col min="8187" max="8187" width="33.108333587646484" style="3" customWidth="1"/>
    <ns0:col min="8188" max="8188" width="3.1083333492279053" style="3" customWidth="1"/>
    <ns0:col min="8189" max="8189" width="30" style="3" customWidth="1"/>
    <ns0:col min="8190" max="8436" width="9" style="3" customWidth="0"/>
    <ns0:col min="8437" max="8438" width="22" style="3" customWidth="1"/>
    <ns0:col min="8439" max="8439" width="52.66666793823242" style="3" customWidth="1"/>
    <ns0:col min="8440" max="8440" width="13.108333587646484" style="3" customWidth="1"/>
    <ns0:col min="8441" max="8441" width="12.666666984558105" style="3" customWidth="1"/>
    <ns0:col min="8442" max="8442" width="26.441667556762695" style="3" customWidth="1"/>
    <ns0:col min="8443" max="8443" width="33.108333587646484" style="3" customWidth="1"/>
    <ns0:col min="8444" max="8444" width="3.1083333492279053" style="3" customWidth="1"/>
    <ns0:col min="8445" max="8445" width="30" style="3" customWidth="1"/>
    <ns0:col min="8446" max="8692" width="9" style="3" customWidth="0"/>
    <ns0:col min="8693" max="8694" width="22" style="3" customWidth="1"/>
    <ns0:col min="8695" max="8695" width="52.66666793823242" style="3" customWidth="1"/>
    <ns0:col min="8696" max="8696" width="13.108333587646484" style="3" customWidth="1"/>
    <ns0:col min="8697" max="8697" width="12.666666984558105" style="3" customWidth="1"/>
    <ns0:col min="8698" max="8698" width="26.441667556762695" style="3" customWidth="1"/>
    <ns0:col min="8699" max="8699" width="33.108333587646484" style="3" customWidth="1"/>
    <ns0:col min="8700" max="8700" width="3.1083333492279053" style="3" customWidth="1"/>
    <ns0:col min="8701" max="8701" width="30" style="3" customWidth="1"/>
    <ns0:col min="8702" max="8948" width="9" style="3" customWidth="0"/>
    <ns0:col min="8949" max="8950" width="22" style="3" customWidth="1"/>
    <ns0:col min="8951" max="8951" width="52.66666793823242" style="3" customWidth="1"/>
    <ns0:col min="8952" max="8952" width="13.108333587646484" style="3" customWidth="1"/>
    <ns0:col min="8953" max="8953" width="12.666666984558105" style="3" customWidth="1"/>
    <ns0:col min="8954" max="8954" width="26.441667556762695" style="3" customWidth="1"/>
    <ns0:col min="8955" max="8955" width="33.108333587646484" style="3" customWidth="1"/>
    <ns0:col min="8956" max="8956" width="3.1083333492279053" style="3" customWidth="1"/>
    <ns0:col min="8957" max="8957" width="30" style="3" customWidth="1"/>
    <ns0:col min="8958" max="9204" width="9" style="3" customWidth="0"/>
    <ns0:col min="9205" max="9206" width="22" style="3" customWidth="1"/>
    <ns0:col min="9207" max="9207" width="52.66666793823242" style="3" customWidth="1"/>
    <ns0:col min="9208" max="9208" width="13.108333587646484" style="3" customWidth="1"/>
    <ns0:col min="9209" max="9209" width="12.666666984558105" style="3" customWidth="1"/>
    <ns0:col min="9210" max="9210" width="26.441667556762695" style="3" customWidth="1"/>
    <ns0:col min="9211" max="9211" width="33.108333587646484" style="3" customWidth="1"/>
    <ns0:col min="9212" max="9212" width="3.1083333492279053" style="3" customWidth="1"/>
    <ns0:col min="9213" max="9213" width="30" style="3" customWidth="1"/>
    <ns0:col min="9214" max="9460" width="9" style="3" customWidth="0"/>
    <ns0:col min="9461" max="9462" width="22" style="3" customWidth="1"/>
    <ns0:col min="9463" max="9463" width="52.66666793823242" style="3" customWidth="1"/>
    <ns0:col min="9464" max="9464" width="13.108333587646484" style="3" customWidth="1"/>
    <ns0:col min="9465" max="9465" width="12.666666984558105" style="3" customWidth="1"/>
    <ns0:col min="9466" max="9466" width="26.441667556762695" style="3" customWidth="1"/>
    <ns0:col min="9467" max="9467" width="33.108333587646484" style="3" customWidth="1"/>
    <ns0:col min="9468" max="9468" width="3.1083333492279053" style="3" customWidth="1"/>
    <ns0:col min="9469" max="9469" width="30" style="3" customWidth="1"/>
    <ns0:col min="9470" max="9716" width="9" style="3" customWidth="0"/>
    <ns0:col min="9717" max="9718" width="22" style="3" customWidth="1"/>
    <ns0:col min="9719" max="9719" width="52.66666793823242" style="3" customWidth="1"/>
    <ns0:col min="9720" max="9720" width="13.108333587646484" style="3" customWidth="1"/>
    <ns0:col min="9721" max="9721" width="12.666666984558105" style="3" customWidth="1"/>
    <ns0:col min="9722" max="9722" width="26.441667556762695" style="3" customWidth="1"/>
    <ns0:col min="9723" max="9723" width="33.108333587646484" style="3" customWidth="1"/>
    <ns0:col min="9724" max="9724" width="3.1083333492279053" style="3" customWidth="1"/>
    <ns0:col min="9725" max="9725" width="30" style="3" customWidth="1"/>
    <ns0:col min="9726" max="9972" width="9" style="3" customWidth="0"/>
    <ns0:col min="9973" max="9974" width="22" style="3" customWidth="1"/>
    <ns0:col min="9975" max="9975" width="52.66666793823242" style="3" customWidth="1"/>
    <ns0:col min="9976" max="9976" width="13.108333587646484" style="3" customWidth="1"/>
    <ns0:col min="9977" max="9977" width="12.666666984558105" style="3" customWidth="1"/>
    <ns0:col min="9978" max="9978" width="26.441667556762695" style="3" customWidth="1"/>
    <ns0:col min="9979" max="9979" width="33.108333587646484" style="3" customWidth="1"/>
    <ns0:col min="9980" max="9980" width="3.1083333492279053" style="3" customWidth="1"/>
    <ns0:col min="9981" max="9981" width="30" style="3" customWidth="1"/>
    <ns0:col min="9982" max="10228" width="9" style="3" customWidth="0"/>
    <ns0:col min="10229" max="10230" width="22" style="3" customWidth="1"/>
    <ns0:col min="10231" max="10231" width="52.66666793823242" style="3" customWidth="1"/>
    <ns0:col min="10232" max="10232" width="13.108333587646484" style="3" customWidth="1"/>
    <ns0:col min="10233" max="10233" width="12.666666984558105" style="3" customWidth="1"/>
    <ns0:col min="10234" max="10234" width="26.441667556762695" style="3" customWidth="1"/>
    <ns0:col min="10235" max="10235" width="33.108333587646484" style="3" customWidth="1"/>
    <ns0:col min="10236" max="10236" width="3.1083333492279053" style="3" customWidth="1"/>
    <ns0:col min="10237" max="10237" width="30" style="3" customWidth="1"/>
    <ns0:col min="10238" max="10484" width="9" style="3" customWidth="0"/>
    <ns0:col min="10485" max="10486" width="22" style="3" customWidth="1"/>
    <ns0:col min="10487" max="10487" width="52.66666793823242" style="3" customWidth="1"/>
    <ns0:col min="10488" max="10488" width="13.108333587646484" style="3" customWidth="1"/>
    <ns0:col min="10489" max="10489" width="12.666666984558105" style="3" customWidth="1"/>
    <ns0:col min="10490" max="10490" width="26.441667556762695" style="3" customWidth="1"/>
    <ns0:col min="10491" max="10491" width="33.108333587646484" style="3" customWidth="1"/>
    <ns0:col min="10492" max="10492" width="3.1083333492279053" style="3" customWidth="1"/>
    <ns0:col min="10493" max="10493" width="30" style="3" customWidth="1"/>
    <ns0:col min="10494" max="10740" width="9" style="3" customWidth="0"/>
    <ns0:col min="10741" max="10742" width="22" style="3" customWidth="1"/>
    <ns0:col min="10743" max="10743" width="52.66666793823242" style="3" customWidth="1"/>
    <ns0:col min="10744" max="10744" width="13.108333587646484" style="3" customWidth="1"/>
    <ns0:col min="10745" max="10745" width="12.666666984558105" style="3" customWidth="1"/>
    <ns0:col min="10746" max="10746" width="26.441667556762695" style="3" customWidth="1"/>
    <ns0:col min="10747" max="10747" width="33.108333587646484" style="3" customWidth="1"/>
    <ns0:col min="10748" max="10748" width="3.1083333492279053" style="3" customWidth="1"/>
    <ns0:col min="10749" max="10749" width="30" style="3" customWidth="1"/>
    <ns0:col min="10750" max="10996" width="9" style="3" customWidth="0"/>
    <ns0:col min="10997" max="10998" width="22" style="3" customWidth="1"/>
    <ns0:col min="10999" max="10999" width="52.66666793823242" style="3" customWidth="1"/>
    <ns0:col min="11000" max="11000" width="13.108333587646484" style="3" customWidth="1"/>
    <ns0:col min="11001" max="11001" width="12.666666984558105" style="3" customWidth="1"/>
    <ns0:col min="11002" max="11002" width="26.441667556762695" style="3" customWidth="1"/>
    <ns0:col min="11003" max="11003" width="33.108333587646484" style="3" customWidth="1"/>
    <ns0:col min="11004" max="11004" width="3.1083333492279053" style="3" customWidth="1"/>
    <ns0:col min="11005" max="11005" width="30" style="3" customWidth="1"/>
    <ns0:col min="11006" max="11252" width="9" style="3" customWidth="0"/>
    <ns0:col min="11253" max="11254" width="22" style="3" customWidth="1"/>
    <ns0:col min="11255" max="11255" width="52.66666793823242" style="3" customWidth="1"/>
    <ns0:col min="11256" max="11256" width="13.108333587646484" style="3" customWidth="1"/>
    <ns0:col min="11257" max="11257" width="12.666666984558105" style="3" customWidth="1"/>
    <ns0:col min="11258" max="11258" width="26.441667556762695" style="3" customWidth="1"/>
    <ns0:col min="11259" max="11259" width="33.108333587646484" style="3" customWidth="1"/>
    <ns0:col min="11260" max="11260" width="3.1083333492279053" style="3" customWidth="1"/>
    <ns0:col min="11261" max="11261" width="30" style="3" customWidth="1"/>
    <ns0:col min="11262" max="11508" width="9" style="3" customWidth="0"/>
    <ns0:col min="11509" max="11510" width="22" style="3" customWidth="1"/>
    <ns0:col min="11511" max="11511" width="52.66666793823242" style="3" customWidth="1"/>
    <ns0:col min="11512" max="11512" width="13.108333587646484" style="3" customWidth="1"/>
    <ns0:col min="11513" max="11513" width="12.666666984558105" style="3" customWidth="1"/>
    <ns0:col min="11514" max="11514" width="26.441667556762695" style="3" customWidth="1"/>
    <ns0:col min="11515" max="11515" width="33.108333587646484" style="3" customWidth="1"/>
    <ns0:col min="11516" max="11516" width="3.1083333492279053" style="3" customWidth="1"/>
    <ns0:col min="11517" max="11517" width="30" style="3" customWidth="1"/>
    <ns0:col min="11518" max="11764" width="9" style="3" customWidth="0"/>
    <ns0:col min="11765" max="11766" width="22" style="3" customWidth="1"/>
    <ns0:col min="11767" max="11767" width="52.66666793823242" style="3" customWidth="1"/>
    <ns0:col min="11768" max="11768" width="13.108333587646484" style="3" customWidth="1"/>
    <ns0:col min="11769" max="11769" width="12.666666984558105" style="3" customWidth="1"/>
    <ns0:col min="11770" max="11770" width="26.441667556762695" style="3" customWidth="1"/>
    <ns0:col min="11771" max="11771" width="33.108333587646484" style="3" customWidth="1"/>
    <ns0:col min="11772" max="11772" width="3.1083333492279053" style="3" customWidth="1"/>
    <ns0:col min="11773" max="11773" width="30" style="3" customWidth="1"/>
    <ns0:col min="11774" max="12020" width="9" style="3" customWidth="0"/>
    <ns0:col min="12021" max="12022" width="22" style="3" customWidth="1"/>
    <ns0:col min="12023" max="12023" width="52.66666793823242" style="3" customWidth="1"/>
    <ns0:col min="12024" max="12024" width="13.108333587646484" style="3" customWidth="1"/>
    <ns0:col min="12025" max="12025" width="12.666666984558105" style="3" customWidth="1"/>
    <ns0:col min="12026" max="12026" width="26.441667556762695" style="3" customWidth="1"/>
    <ns0:col min="12027" max="12027" width="33.108333587646484" style="3" customWidth="1"/>
    <ns0:col min="12028" max="12028" width="3.1083333492279053" style="3" customWidth="1"/>
    <ns0:col min="12029" max="12029" width="30" style="3" customWidth="1"/>
    <ns0:col min="12030" max="12276" width="9" style="3" customWidth="0"/>
    <ns0:col min="12277" max="12278" width="22" style="3" customWidth="1"/>
    <ns0:col min="12279" max="12279" width="52.66666793823242" style="3" customWidth="1"/>
    <ns0:col min="12280" max="12280" width="13.108333587646484" style="3" customWidth="1"/>
    <ns0:col min="12281" max="12281" width="12.666666984558105" style="3" customWidth="1"/>
    <ns0:col min="12282" max="12282" width="26.441667556762695" style="3" customWidth="1"/>
    <ns0:col min="12283" max="12283" width="33.108333587646484" style="3" customWidth="1"/>
    <ns0:col min="12284" max="12284" width="3.1083333492279053" style="3" customWidth="1"/>
    <ns0:col min="12285" max="12285" width="30" style="3" customWidth="1"/>
    <ns0:col min="12286" max="12532" width="9" style="3" customWidth="0"/>
    <ns0:col min="12533" max="12534" width="22" style="3" customWidth="1"/>
    <ns0:col min="12535" max="12535" width="52.66666793823242" style="3" customWidth="1"/>
    <ns0:col min="12536" max="12536" width="13.108333587646484" style="3" customWidth="1"/>
    <ns0:col min="12537" max="12537" width="12.666666984558105" style="3" customWidth="1"/>
    <ns0:col min="12538" max="12538" width="26.441667556762695" style="3" customWidth="1"/>
    <ns0:col min="12539" max="12539" width="33.108333587646484" style="3" customWidth="1"/>
    <ns0:col min="12540" max="12540" width="3.1083333492279053" style="3" customWidth="1"/>
    <ns0:col min="12541" max="12541" width="30" style="3" customWidth="1"/>
    <ns0:col min="12542" max="12788" width="9" style="3" customWidth="0"/>
    <ns0:col min="12789" max="12790" width="22" style="3" customWidth="1"/>
    <ns0:col min="12791" max="12791" width="52.66666793823242" style="3" customWidth="1"/>
    <ns0:col min="12792" max="12792" width="13.108333587646484" style="3" customWidth="1"/>
    <ns0:col min="12793" max="12793" width="12.666666984558105" style="3" customWidth="1"/>
    <ns0:col min="12794" max="12794" width="26.441667556762695" style="3" customWidth="1"/>
    <ns0:col min="12795" max="12795" width="33.108333587646484" style="3" customWidth="1"/>
    <ns0:col min="12796" max="12796" width="3.1083333492279053" style="3" customWidth="1"/>
    <ns0:col min="12797" max="12797" width="30" style="3" customWidth="1"/>
    <ns0:col min="12798" max="13044" width="9" style="3" customWidth="0"/>
    <ns0:col min="13045" max="13046" width="22" style="3" customWidth="1"/>
    <ns0:col min="13047" max="13047" width="52.66666793823242" style="3" customWidth="1"/>
    <ns0:col min="13048" max="13048" width="13.108333587646484" style="3" customWidth="1"/>
    <ns0:col min="13049" max="13049" width="12.666666984558105" style="3" customWidth="1"/>
    <ns0:col min="13050" max="13050" width="26.441667556762695" style="3" customWidth="1"/>
    <ns0:col min="13051" max="13051" width="33.108333587646484" style="3" customWidth="1"/>
    <ns0:col min="13052" max="13052" width="3.1083333492279053" style="3" customWidth="1"/>
    <ns0:col min="13053" max="13053" width="30" style="3" customWidth="1"/>
    <ns0:col min="13054" max="13300" width="9" style="3" customWidth="0"/>
    <ns0:col min="13301" max="13302" width="22" style="3" customWidth="1"/>
    <ns0:col min="13303" max="13303" width="52.66666793823242" style="3" customWidth="1"/>
    <ns0:col min="13304" max="13304" width="13.108333587646484" style="3" customWidth="1"/>
    <ns0:col min="13305" max="13305" width="12.666666984558105" style="3" customWidth="1"/>
    <ns0:col min="13306" max="13306" width="26.441667556762695" style="3" customWidth="1"/>
    <ns0:col min="13307" max="13307" width="33.108333587646484" style="3" customWidth="1"/>
    <ns0:col min="13308" max="13308" width="3.1083333492279053" style="3" customWidth="1"/>
    <ns0:col min="13309" max="13309" width="30" style="3" customWidth="1"/>
    <ns0:col min="13310" max="13556" width="9" style="3" customWidth="0"/>
    <ns0:col min="13557" max="13558" width="22" style="3" customWidth="1"/>
    <ns0:col min="13559" max="13559" width="52.66666793823242" style="3" customWidth="1"/>
    <ns0:col min="13560" max="13560" width="13.108333587646484" style="3" customWidth="1"/>
    <ns0:col min="13561" max="13561" width="12.666666984558105" style="3" customWidth="1"/>
    <ns0:col min="13562" max="13562" width="26.441667556762695" style="3" customWidth="1"/>
    <ns0:col min="13563" max="13563" width="33.108333587646484" style="3" customWidth="1"/>
    <ns0:col min="13564" max="13564" width="3.1083333492279053" style="3" customWidth="1"/>
    <ns0:col min="13565" max="13565" width="30" style="3" customWidth="1"/>
    <ns0:col min="13566" max="13812" width="9" style="3" customWidth="0"/>
    <ns0:col min="13813" max="13814" width="22" style="3" customWidth="1"/>
    <ns0:col min="13815" max="13815" width="52.66666793823242" style="3" customWidth="1"/>
    <ns0:col min="13816" max="13816" width="13.108333587646484" style="3" customWidth="1"/>
    <ns0:col min="13817" max="13817" width="12.666666984558105" style="3" customWidth="1"/>
    <ns0:col min="13818" max="13818" width="26.441667556762695" style="3" customWidth="1"/>
    <ns0:col min="13819" max="13819" width="33.108333587646484" style="3" customWidth="1"/>
    <ns0:col min="13820" max="13820" width="3.1083333492279053" style="3" customWidth="1"/>
    <ns0:col min="13821" max="13821" width="30" style="3" customWidth="1"/>
    <ns0:col min="13822" max="14068" width="9" style="3" customWidth="0"/>
    <ns0:col min="14069" max="14070" width="22" style="3" customWidth="1"/>
    <ns0:col min="14071" max="14071" width="52.66666793823242" style="3" customWidth="1"/>
    <ns0:col min="14072" max="14072" width="13.108333587646484" style="3" customWidth="1"/>
    <ns0:col min="14073" max="14073" width="12.666666984558105" style="3" customWidth="1"/>
    <ns0:col min="14074" max="14074" width="26.441667556762695" style="3" customWidth="1"/>
    <ns0:col min="14075" max="14075" width="33.108333587646484" style="3" customWidth="1"/>
    <ns0:col min="14076" max="14076" width="3.1083333492279053" style="3" customWidth="1"/>
    <ns0:col min="14077" max="14077" width="30" style="3" customWidth="1"/>
    <ns0:col min="14078" max="14324" width="9" style="3" customWidth="0"/>
    <ns0:col min="14325" max="14326" width="22" style="3" customWidth="1"/>
    <ns0:col min="14327" max="14327" width="52.66666793823242" style="3" customWidth="1"/>
    <ns0:col min="14328" max="14328" width="13.108333587646484" style="3" customWidth="1"/>
    <ns0:col min="14329" max="14329" width="12.666666984558105" style="3" customWidth="1"/>
    <ns0:col min="14330" max="14330" width="26.441667556762695" style="3" customWidth="1"/>
    <ns0:col min="14331" max="14331" width="33.108333587646484" style="3" customWidth="1"/>
    <ns0:col min="14332" max="14332" width="3.1083333492279053" style="3" customWidth="1"/>
    <ns0:col min="14333" max="14333" width="30" style="3" customWidth="1"/>
    <ns0:col min="14334" max="14580" width="9" style="3" customWidth="0"/>
    <ns0:col min="14581" max="14582" width="22" style="3" customWidth="1"/>
    <ns0:col min="14583" max="14583" width="52.66666793823242" style="3" customWidth="1"/>
    <ns0:col min="14584" max="14584" width="13.108333587646484" style="3" customWidth="1"/>
    <ns0:col min="14585" max="14585" width="12.666666984558105" style="3" customWidth="1"/>
    <ns0:col min="14586" max="14586" width="26.441667556762695" style="3" customWidth="1"/>
    <ns0:col min="14587" max="14587" width="33.108333587646484" style="3" customWidth="1"/>
    <ns0:col min="14588" max="14588" width="3.1083333492279053" style="3" customWidth="1"/>
    <ns0:col min="14589" max="14589" width="30" style="3" customWidth="1"/>
    <ns0:col min="14590" max="14836" width="9" style="3" customWidth="0"/>
    <ns0:col min="14837" max="14838" width="22" style="3" customWidth="1"/>
    <ns0:col min="14839" max="14839" width="52.66666793823242" style="3" customWidth="1"/>
    <ns0:col min="14840" max="14840" width="13.108333587646484" style="3" customWidth="1"/>
    <ns0:col min="14841" max="14841" width="12.666666984558105" style="3" customWidth="1"/>
    <ns0:col min="14842" max="14842" width="26.441667556762695" style="3" customWidth="1"/>
    <ns0:col min="14843" max="14843" width="33.108333587646484" style="3" customWidth="1"/>
    <ns0:col min="14844" max="14844" width="3.1083333492279053" style="3" customWidth="1"/>
    <ns0:col min="14845" max="14845" width="30" style="3" customWidth="1"/>
    <ns0:col min="14846" max="15092" width="9" style="3" customWidth="0"/>
    <ns0:col min="15093" max="15094" width="22" style="3" customWidth="1"/>
    <ns0:col min="15095" max="15095" width="52.66666793823242" style="3" customWidth="1"/>
    <ns0:col min="15096" max="15096" width="13.108333587646484" style="3" customWidth="1"/>
    <ns0:col min="15097" max="15097" width="12.666666984558105" style="3" customWidth="1"/>
    <ns0:col min="15098" max="15098" width="26.441667556762695" style="3" customWidth="1"/>
    <ns0:col min="15099" max="15099" width="33.108333587646484" style="3" customWidth="1"/>
    <ns0:col min="15100" max="15100" width="3.1083333492279053" style="3" customWidth="1"/>
    <ns0:col min="15101" max="15101" width="30" style="3" customWidth="1"/>
    <ns0:col min="15102" max="15348" width="9" style="3" customWidth="0"/>
    <ns0:col min="15349" max="15350" width="22" style="3" customWidth="1"/>
    <ns0:col min="15351" max="15351" width="52.66666793823242" style="3" customWidth="1"/>
    <ns0:col min="15352" max="15352" width="13.108333587646484" style="3" customWidth="1"/>
    <ns0:col min="15353" max="15353" width="12.666666984558105" style="3" customWidth="1"/>
    <ns0:col min="15354" max="15354" width="26.441667556762695" style="3" customWidth="1"/>
    <ns0:col min="15355" max="15355" width="33.108333587646484" style="3" customWidth="1"/>
    <ns0:col min="15356" max="15356" width="3.1083333492279053" style="3" customWidth="1"/>
    <ns0:col min="15357" max="15357" width="30" style="3" customWidth="1"/>
    <ns0:col min="15358" max="15604" width="9" style="3" customWidth="0"/>
    <ns0:col min="15605" max="15606" width="22" style="3" customWidth="1"/>
    <ns0:col min="15607" max="15607" width="52.66666793823242" style="3" customWidth="1"/>
    <ns0:col min="15608" max="15608" width="13.108333587646484" style="3" customWidth="1"/>
    <ns0:col min="15609" max="15609" width="12.666666984558105" style="3" customWidth="1"/>
    <ns0:col min="15610" max="15610" width="26.441667556762695" style="3" customWidth="1"/>
    <ns0:col min="15611" max="15611" width="33.108333587646484" style="3" customWidth="1"/>
    <ns0:col min="15612" max="15612" width="3.1083333492279053" style="3" customWidth="1"/>
    <ns0:col min="15613" max="15613" width="30" style="3" customWidth="1"/>
    <ns0:col min="15614" max="15860" width="9" style="3" customWidth="0"/>
    <ns0:col min="15861" max="15862" width="22" style="3" customWidth="1"/>
    <ns0:col min="15863" max="15863" width="52.66666793823242" style="3" customWidth="1"/>
    <ns0:col min="15864" max="15864" width="13.108333587646484" style="3" customWidth="1"/>
    <ns0:col min="15865" max="15865" width="12.666666984558105" style="3" customWidth="1"/>
    <ns0:col min="15866" max="15866" width="26.441667556762695" style="3" customWidth="1"/>
    <ns0:col min="15867" max="15867" width="33.108333587646484" style="3" customWidth="1"/>
    <ns0:col min="15868" max="15868" width="3.1083333492279053" style="3" customWidth="1"/>
    <ns0:col min="15869" max="15869" width="30" style="3" customWidth="1"/>
    <ns0:col min="15870" max="16116" width="9" style="3" customWidth="0"/>
    <ns0:col min="16117" max="16118" width="22" style="3" customWidth="1"/>
    <ns0:col min="16119" max="16119" width="52.66666793823242" style="3" customWidth="1"/>
    <ns0:col min="16120" max="16120" width="13.108333587646484" style="3" customWidth="1"/>
    <ns0:col min="16121" max="16121" width="12.666666984558105" style="3" customWidth="1"/>
    <ns0:col min="16122" max="16122" width="26.441667556762695" style="3" customWidth="1"/>
    <ns0:col min="16123" max="16123" width="33.108333587646484" style="3" customWidth="1"/>
    <ns0:col min="16124" max="16124" width="3.1083333492279053" style="3" customWidth="1"/>
    <ns0:col min="16125" max="16125" width="30" style="3" customWidth="1"/>
    <ns0:col min="16126" max="16384" width="9" style="3" customWidth="0"/>
  </ns0:cols>
  <ns0:sheetData>
    <ns0:row r="1">
      <ns0:c r="A1" s="58"/>
      <ns0:c r="B1" s="59"/>
      <ns0:c r="C1" s="60" t="s">
        <ns0:v>0</ns0:v>
      </ns0:c>
      <ns0:c r="D1" s="60"/>
      <ns0:c r="E1" s="60"/>
      <ns0:c r="F1" s="60"/>
      <ns0:c r="G1" s="60"/>
      <ns0:c r="H1" s="60"/>
      <ns0:c r="I1" s="60"/>
      <ns0:c r="J1" s="60"/>
      <ns0:c r="K1" s="59"/>
      <ns0:c r="L1" s="61"/>
    </ns0:row>
    <ns0:row r="2">
      <ns0:c r="A2" s="58"/>
      <ns0:c r="B2" s="59"/>
      <ns0:c r="C2" s="60" t="s">
        <ns0:v>1</ns0:v>
      </ns0:c>
      <ns0:c r="D2" s="60"/>
      <ns0:c r="E2" s="60"/>
      <ns0:c r="F2" s="60"/>
      <ns0:c r="G2" s="60"/>
      <ns0:c r="H2" s="60"/>
      <ns0:c r="I2" s="60"/>
      <ns0:c r="J2" s="60"/>
      <ns0:c r="K2" s="59"/>
      <ns0:c r="L2" s="61"/>
    </ns0:row>
    <ns0:row r="3">
      <ns0:c r="A3" s="58"/>
      <ns0:c r="B3" s="59"/>
      <ns0:c r="C3" s="60" t="s">
        <ns0:v>2</ns0:v>
      </ns0:c>
      <ns0:c r="D3" s="60"/>
      <ns0:c r="E3" s="60"/>
      <ns0:c r="F3" s="60"/>
      <ns0:c r="G3" s="60"/>
      <ns0:c r="H3" s="60"/>
      <ns0:c r="I3" s="60"/>
      <ns0:c r="J3" s="60"/>
      <ns0:c r="K3" s="59"/>
      <ns0:c r="L3" s="61"/>
    </ns0:row>
    <ns0:row r="4" ht="11.25" hidden="1" customHeight="1">
      <ns0:c r="A4" s="58"/>
      <ns0:c r="B4" s="59"/>
      <ns0:c r="C4" s="62"/>
      <ns0:c r="D4" s="62"/>
      <ns0:c r="E4" s="63"/>
      <ns0:c r="F4" s="60"/>
      <ns0:c r="G4" s="60"/>
      <ns0:c r="H4" s="60"/>
      <ns0:c r="I4" s="62"/>
      <ns0:c r="J4" s="64"/>
      <ns0:c r="K4" s="59"/>
      <ns0:c r="L4" s="61"/>
    </ns0:row>
    <ns0:row r="5" ht="27.600000381469727">
      <ns0:c r="A5" s="58"/>
      <ns0:c r="B5" s="59"/>
      <ns0:c r="C5" s="65" t="s">
        <ns0:v>3</ns0:v>
      </ns0:c>
      <ns0:c r="D5" s="65"/>
      <ns0:c r="E5" s="65"/>
      <ns0:c r="F5" s="65"/>
      <ns0:c r="G5" s="65"/>
      <ns0:c r="H5" s="65"/>
      <ns0:c r="I5" s="65"/>
      <ns0:c r="J5" s="65"/>
      <ns0:c r="K5" s="59"/>
      <ns0:c r="L5" s="61"/>
    </ns0:row>
    <ns0:row r="6">
      <ns0:c r="A6" s="58"/>
      <ns0:c r="B6" s="59"/>
      <ns0:c r="C6" s="62" t="s">
        <ns0:v>4</ns0:v>
      </ns0:c>
      <ns0:c r="D6" s="62"/>
      <ns0:c r="E6" s="63"/>
      <ns0:c r="F6" s="60"/>
      <ns0:c r="G6" s="60"/>
      <ns0:c r="H6" s="60"/>
      <ns0:c r="I6" s="62"/>
      <ns0:c r="J6" s="64" t="str">
        <ns0:v>DATE: 30/10/2026</ns0:v>
      </ns0:c>
      <ns0:c r="K6" s="59"/>
      <ns0:c r="L6" s="61"/>
    </ns0:row>
    <ns0:row r="7" ht="15.75" customHeight="1">
      <ns0:c r="A7" s="58"/>
      <ns0:c r="B7" s="59"/>
      <ns0:c r="C7" s="59" t="s">
        <ns0:v>5</ns0:v>
      </ns0:c>
      <ns0:c r="D7" s="59"/>
      <ns0:c r="E7" s="66" t="s">
        <ns0:v>6</ns0:v>
      </ns0:c>
      <ns0:c r="F7" s="66"/>
      <ns0:c r="G7" s="66"/>
      <ns0:c r="H7" s="66"/>
      <ns0:c r="I7" s="66"/>
      <ns0:c r="J7" s="66"/>
      <ns0:c r="K7" s="66"/>
      <ns0:c r="L7" s="61"/>
    </ns0:row>
    <ns0:row r="8" ht="31.5" customHeight="1">
      <ns0:c r="A8" s="58"/>
      <ns0:c r="B8" s="59"/>
      <ns0:c r="C8" s="59" t="s">
        <ns0:v>7</ns0:v>
      </ns0:c>
      <ns0:c r="D8" s="59"/>
      <ns0:c r="E8" s="61" t="s">
        <ns0:v>8</ns0:v>
      </ns0:c>
      <ns0:c r="F8" s="66"/>
      <ns0:c r="G8" s="66"/>
      <ns0:c r="H8" s="66"/>
      <ns0:c r="I8" s="59"/>
      <ns0:c r="J8" s="61"/>
      <ns0:c r="K8" s="59"/>
      <ns0:c r="L8" s="61"/>
    </ns0:row>
    <ns0:row r="9" ht="10.5" customHeight="1">
      <ns0:c r="A9" s="58"/>
      <ns0:c r="B9" s="59"/>
      <ns0:c r="C9" s="67" t="s">
        <ns0:v>9</ns0:v>
      </ns0:c>
      <ns0:c r="D9" s="67"/>
      <ns0:c r="E9" s="67"/>
      <ns0:c r="F9" s="59"/>
      <ns0:c r="G9" s="59"/>
      <ns0:c r="H9" s="59"/>
      <ns0:c r="I9" s="66"/>
      <ns0:c r="J9" s="61"/>
      <ns0:c r="K9" s="59"/>
      <ns0:c r="L9" s="61"/>
    </ns0:row>
    <ns0:row r="10" ht="10.5" customHeight="1">
      <ns0:c r="A10" s="58"/>
      <ns0:c r="B10" s="59"/>
      <ns0:c r="C10" s="67"/>
      <ns0:c r="D10" s="67"/>
      <ns0:c r="E10" s="67"/>
      <ns0:c r="F10" s="66"/>
      <ns0:c r="G10" s="66"/>
      <ns0:c r="H10" s="66"/>
      <ns0:c r="I10" s="59"/>
      <ns0:c r="J10" s="61" t="s">
        <ns0:v>10</ns0:v>
      </ns0:c>
      <ns0:c r="K10" s="59"/>
      <ns0:c r="L10" s="61"/>
    </ns0:row>
    <ns0:row r="11" ht="17.25" customHeight="1">
      <ns0:c r="A11" s="58"/>
      <ns0:c r="B11" s="59"/>
      <ns0:c r="C11" s="59" t="s">
        <ns0:v>11</ns0:v>
      </ns0:c>
      <ns0:c r="D11" s="59"/>
      <ns0:c r="E11" s="61"/>
      <ns0:c r="F11" s="66"/>
      <ns0:c r="G11" s="66"/>
      <ns0:c r="H11" s="66"/>
      <ns0:c r="I11" s="59"/>
      <ns0:c r="J11" s="61"/>
      <ns0:c r="K11" s="59"/>
      <ns0:c r="L11" s="61"/>
    </ns0:row>
    <ns0:row r="12" ht="10.5" customHeight="1">
      <ns0:c r="A12" s="58"/>
      <ns0:c r="B12" s="59"/>
      <ns0:c r="C12" s="59" t="s">
        <ns0:v>12</ns0:v>
      </ns0:c>
      <ns0:c r="D12" s="59"/>
      <ns0:c r="E12" s="61"/>
      <ns0:c r="F12" s="66"/>
      <ns0:c r="G12" s="66"/>
      <ns0:c r="H12" s="66"/>
      <ns0:c r="I12" s="59"/>
      <ns0:c r="J12" s="61" t="str">
        <ns0:v>INCOTERM : FOB</ns0:v>
      </ns0:c>
      <ns0:c r="K12" s="59"/>
      <ns0:c r="L12" s="61"/>
    </ns0:row>
    <ns0:row r="13" ht="19.5" customHeight="1">
      <ns0:c r="A13" s="58"/>
      <ns0:c r="B13" s="59"/>
      <ns0:c r="C13" s="61" t="s">
        <ns0:v>13</ns0:v>
      </ns0:c>
      <ns0:c r="D13" s="61"/>
      <ns0:c r="E13" s="61"/>
      <ns0:c r="F13" s="61"/>
      <ns0:c r="G13" s="61"/>
      <ns0:c r="H13" s="61"/>
      <ns0:c r="I13" s="59"/>
      <ns0:c r="J13" s="61" t="s">
        <ns0:v>14</ns0:v>
      </ns0:c>
      <ns0:c r="K13" s="59"/>
      <ns0:c r="L13" s="61"/>
    </ns0:row>
    <ns0:row r="14">
      <ns0:c r="A14" s="58"/>
      <ns0:c r="B14" s="59"/>
      <ns0:c r="C14" s="59" t="s">
        <ns0:v>15</ns0:v>
      </ns0:c>
      <ns0:c r="D14" s="59"/>
      <ns0:c r="E14" s="61"/>
      <ns0:c r="F14" s="66"/>
      <ns0:c r="G14" s="66"/>
      <ns0:c r="H14" s="66"/>
      <ns0:c r="I14" s="59"/>
      <ns0:c r="J14" s="61" t="s">
        <ns0:v>16</ns0:v>
      </ns0:c>
      <ns0:c r="K14" s="59"/>
      <ns0:c r="L14" s="61"/>
    </ns0:row>
    <ns0:row r="15" s="1" customFormat="1" ht="18" customHeight="1">
      <ns0:c r="A15" s="17" t="s">
        <ns0:v>17</ns0:v>
      </ns0:c>
      <ns0:c r="B15" s="18" t="s">
        <ns0:v>18</ns0:v>
      </ns0:c>
      <ns0:c r="C15" s="19" t="s">
        <ns0:v>19</ns0:v>
      </ns0:c>
      <ns0:c r="D15" s="20"/>
      <ns0:c r="E15" s="21"/>
      <ns0:c r="F15" s="18" t="s">
        <ns0:v>20</ns0:v>
      </ns0:c>
      <ns0:c r="G15" s="17" t="s">
        <ns0:v>21</ns0:v>
      </ns0:c>
      <ns0:c r="H15" s="22"/>
      <ns0:c r="I15" s="18" t="s">
        <ns0:v>22</ns0:v>
      </ns0:c>
      <ns0:c r="J15" s="18" t="s">
        <ns0:v>23</ns0:v>
      </ns0:c>
      <ns0:c r="K15" s="18" t="s">
        <ns0:v>24</ns0:v>
      </ns0:c>
      <ns0:c r="L15" s="23" t="s">
        <ns0:v>25</ns0:v>
      </ns0:c>
    </ns0:row>
    <ns0:row r="16" s="1" customFormat="1" ht="18.149999618530273">
      <ns0:c r="A16" s="17"/>
      <ns0:c r="B16" s="18"/>
      <ns0:c r="C16" s="24"/>
      <ns0:c r="D16" s="25"/>
      <ns0:c r="E16" s="26"/>
      <ns0:c r="F16" s="18"/>
      <ns0:c r="G16" s="17"/>
      <ns0:c r="H16" s="27"/>
      <ns0:c r="I16" s="18"/>
      <ns0:c r="J16" s="28" t="s">
        <ns0:v>26</ns0:v>
      </ns0:c>
      <ns0:c r="K16" s="18" t="s">
        <ns0:v>27</ns0:v>
      </ns0:c>
      <ns0:c r="L16" s="23" t="s">
        <ns0:v>28</ns0:v>
      </ns0:c>
    </ns0:row>
    <ns0:row r="17" s="2" customFormat="1" ht="21.75" customHeight="1">
      <ns0:c r="A17" s="29" t="s">
        <ns0:v>29</ns0:v>
      </ns0:c>
      <ns0:c r="B17" s="29"/>
      <ns0:c r="C17" s="29"/>
      <ns0:c r="D17" s="29"/>
      <ns0:c r="E17" s="29"/>
      <ns0:c r="F17" s="29"/>
      <ns0:c r="G17" s="29"/>
      <ns0:c r="H17" s="29"/>
      <ns0:c r="I17" s="29"/>
      <ns0:c r="J17" s="29"/>
      <ns0:c r="K17" s="29"/>
      <ns0:c r="L17" s="29"/>
      <ns0:c r="M17" s="30"/>
    </ns0:row>
    <ns0:row r="18" s="1" customFormat="1" ht="30" customHeight="1">
      <ns0:c r="A18" s="31">
        <ns0:v>1</ns0:v>
      </ns0:c>
      <ns0:c r="B18" s="32" t="s">
        <ns0:v>30</ns0:v>
      </ns0:c>
      <ns0:c r="C18" s="33" t="s">
        <ns0:v>31</ns0:v>
      </ns0:c>
      <ns0:c r="D18" s="34"/>
      <ns0:c r="E18" s="35"/>
      <ns0:c r="F18" s="31"/>
      <ns0:c r="G18" s="36"/>
      <ns0:c r="H18" s="37" t="s">
        <ns0:v>32</ns0:v>
      </ns0:c>
      <ns0:c r="I18" s="38"/>
      <ns0:c r="J18" s="31" t="s">
        <ns0:v>33</ns0:v>
      </ns0:c>
      <ns0:c r="K18" s="39">
        <ns0:v>3700000</ns0:v>
      </ns0:c>
      <ns0:c r="L18" s="39" t="n">
        <ns0:f>K18*7</ns0:f>
        <ns0:v>25900000</ns0:v>
      </ns0:c>
    </ns0:row>
    <ns0:row r="19" s="2" customFormat="1" ht="30" customHeight="1">
      <ns0:c r="A19" s="31">
        <ns0:v>2</ns0:v>
      </ns0:c>
      <ns0:c r="B19" s="32" t="s">
        <ns0:v>34</ns0:v>
      </ns0:c>
      <ns0:c r="C19" s="33" t="s">
        <ns0:v>35</ns0:v>
      </ns0:c>
      <ns0:c r="D19" s="34"/>
      <ns0:c r="E19" s="35"/>
      <ns0:c r="F19" s="40"/>
      <ns0:c r="G19" s="40"/>
      <ns0:c r="H19" s="37" t="s">
        <ns0:v>36</ns0:v>
      </ns0:c>
      <ns0:c r="J19" s="31" t="s">
        <ns0:v>33</ns0:v>
      </ns0:c>
      <ns0:c r="K19" s="39">
        <ns0:v>1100000</ns0:v>
      </ns0:c>
      <ns0:c r="L19" s="39" t="n">
        <ns0:f>K19*7</ns0:f>
        <ns0:v>7700000</ns0:v>
      </ns0:c>
    </ns0:row>
    <ns0:row r="20" s="1" customFormat="1" ht="30.600000381469727" customHeight="1">
      <ns0:c r="A20" s="31">
        <ns0:v>3</ns0:v>
      </ns0:c>
      <ns0:c r="B20" s="32" t="s">
        <ns0:v>37</ns0:v>
      </ns0:c>
      <ns0:c r="C20" s="33" t="s">
        <ns0:v>38</ns0:v>
      </ns0:c>
      <ns0:c r="D20" s="34"/>
      <ns0:c r="E20" s="35"/>
      <ns0:c r="F20" s="31"/>
      <ns0:c r="G20" s="41"/>
      <ns0:c r="H20" s="31" t="s">
        <ns0:v>39</ns0:v>
      </ns0:c>
      <ns0:c r="I20" s="38"/>
      <ns0:c r="J20" s="31" t="s">
        <ns0:v>40</ns0:v>
      </ns0:c>
      <ns0:c r="K20" s="39">
        <ns0:v>400000</ns0:v>
      </ns0:c>
      <ns0:c r="L20" s="39" t="n">
        <ns0:f>K20*11</ns0:f>
        <ns0:v>4400000</ns0:v>
      </ns0:c>
    </ns0:row>
    <ns0:row r="21" s="1" customFormat="1" ht="27.75" customHeight="1">
      <ns0:c r="A21" s="31">
        <ns0:v>4</ns0:v>
      </ns0:c>
      <ns0:c r="B21" s="31" t="s">
        <ns0:v>41</ns0:v>
      </ns0:c>
      <ns0:c r="C21" s="33" t="s">
        <ns0:v>42</ns0:v>
      </ns0:c>
      <ns0:c r="D21" s="34"/>
      <ns0:c r="E21" s="35"/>
      <ns0:c r="F21" s="31"/>
      <ns0:c r="G21" s="31"/>
      <ns0:c r="H21" s="42" t="s">
        <ns0:v>43</ns0:v>
      </ns0:c>
      <ns0:c r="I21" s="31"/>
      <ns0:c r="J21" s="31" t="s">
        <ns0:v>33</ns0:v>
      </ns0:c>
      <ns0:c r="K21" s="39">
        <ns0:v>500000</ns0:v>
      </ns0:c>
      <ns0:c r="L21" s="39" t="n">
        <ns0:f>K21*7</ns0:f>
        <ns0:v>3500000</ns0:v>
      </ns0:c>
    </ns0:row>
    <ns0:row r="22" s="1" customFormat="1" ht="42.75" customHeight="1">
      <ns0:c r="A22" s="31">
        <ns0:v>5</ns0:v>
      </ns0:c>
      <ns0:c r="B22" s="31" t="s">
        <ns0:v>44</ns0:v>
      </ns0:c>
      <ns0:c r="C22" s="43" t="s">
        <ns0:v>45</ns0:v>
      </ns0:c>
      <ns0:c r="D22" s="44"/>
      <ns0:c r="E22" s="45"/>
      <ns0:c r="F22" s="31"/>
      <ns0:c r="G22" s="31"/>
      <ns0:c r="H22" s="37" t="s">
        <ns0:v>46</ns0:v>
      </ns0:c>
      <ns0:c r="I22" s="31"/>
      <ns0:c r="J22" s="31" t="s">
        <ns0:v>47</ns0:v>
      </ns0:c>
      <ns0:c r="K22" s="39">
        <ns0:v>9300000</ns0:v>
      </ns0:c>
      <ns0:c r="L22" s="39" t="n">
        <ns0:f>K22*1</ns0:f>
        <ns0:v>9300000</ns0:v>
      </ns0:c>
    </ns0:row>
    <ns0:row r="23" s="1" customFormat="1" ht="37.79999923706055" customHeight="1">
      <ns0:c r="A23" s="31">
        <ns0:v>6</ns0:v>
      </ns0:c>
      <ns0:c r="B23" s="46" t="s">
        <ns0:v>44</ns0:v>
      </ns0:c>
      <ns0:c r="C23" s="43" t="s">
        <ns0:v>48</ns0:v>
      </ns0:c>
      <ns0:c r="D23" s="44"/>
      <ns0:c r="E23" s="45"/>
      <ns0:c r="F23" s="31"/>
      <ns0:c r="G23" s="31"/>
      <ns0:c r="H23" s="31" t="s">
        <ns0:v>49</ns0:v>
      </ns0:c>
      <ns0:c r="I23" s="31"/>
      <ns0:c r="J23" s="31" t="s">
        <ns0:v>50</ns0:v>
      </ns0:c>
      <ns0:c r="K23" s="39">
        <ns0:v>8300000</ns0:v>
      </ns0:c>
      <ns0:c r="L23" s="39" t="n">
        <ns0:f>K23*5</ns0:f>
        <ns0:v>41500000</ns0:v>
      </ns0:c>
    </ns0:row>
    <ns0:row r="24" s="1" customFormat="1" ht="33.599998474121094" customHeight="1">
      <ns0:c r="A24" s="31">
        <ns0:v>7</ns0:v>
      </ns0:c>
      <ns0:c r="B24" s="31" t="s">
        <ns0:v>51</ns0:v>
      </ns0:c>
      <ns0:c r="C24" s="43" t="s">
        <ns0:v>52</ns0:v>
      </ns0:c>
      <ns0:c r="D24" s="44"/>
      <ns0:c r="E24" s="45"/>
      <ns0:c r="F24" s="31"/>
      <ns0:c r="G24" s="31"/>
      <ns0:c r="H24" s="31" t="s">
        <ns0:v>53</ns0:v>
      </ns0:c>
      <ns0:c r="I24" s="31"/>
      <ns0:c r="J24" s="31" t="s">
        <ns0:v>54</ns0:v>
      </ns0:c>
      <ns0:c r="K24" s="39">
        <ns0:v>1450000</ns0:v>
      </ns0:c>
      <ns0:c r="L24" s="39" t="n">
        <ns0:f>K24*4</ns0:f>
        <ns0:v>5800000</ns0:v>
      </ns0:c>
      <ns0:c r="R24" s="40"/>
      <ns0:c r="S24" s="47"/>
      <ns0:c r="T24" s="38"/>
    </ns0:row>
    <ns0:row r="25" s="1" customFormat="1" ht="33.599998474121094" customHeight="1">
      <ns0:c r="A25" s="31">
        <ns0:v>8</ns0:v>
      </ns0:c>
      <ns0:c r="B25" s="32" t="s">
        <ns0:v>55</ns0:v>
      </ns0:c>
      <ns0:c r="C25" s="43" t="s">
        <ns0:v>56</ns0:v>
      </ns0:c>
      <ns0:c r="D25" s="44"/>
      <ns0:c r="E25" s="45"/>
      <ns0:c r="F25" s="31"/>
      <ns0:c r="G25" s="31"/>
      <ns0:c r="H25" s="31" t="s">
        <ns0:v>57</ns0:v>
      </ns0:c>
      <ns0:c r="I25" s="31"/>
      <ns0:c r="J25" s="31" t="s">
        <ns0:v>54</ns0:v>
      </ns0:c>
      <ns0:c r="K25" s="39">
        <ns0:v>1650000</ns0:v>
      </ns0:c>
      <ns0:c r="L25" s="39" t="n">
        <ns0:f>K25*4</ns0:f>
        <ns0:v>6600000</ns0:v>
      </ns0:c>
      <ns0:c r="M25" s="48"/>
      <ns0:c r="N25" s="48"/>
      <ns0:c r="O25" s="48"/>
      <ns0:c r="P25" s="48"/>
      <ns0:c r="Q25" s="48"/>
    </ns0:row>
    <ns0:row r="26" s="1" customFormat="1" ht="61.79999923706055" customHeight="1">
      <ns0:c r="A26" s="31">
        <ns0:v>9</ns0:v>
      </ns0:c>
      <ns0:c r="B26" s="32" t="s">
        <ns0:v>58</ns0:v>
      </ns0:c>
      <ns0:c r="C26" s="43" t="s">
        <ns0:v>59</ns0:v>
      </ns0:c>
      <ns0:c r="D26" s="44"/>
      <ns0:c r="E26" s="45"/>
      <ns0:c r="F26" s="31"/>
      <ns0:c r="G26" s="31"/>
      <ns0:c r="H26" s="37" t="s">
        <ns0:v>60</ns0:v>
      </ns0:c>
      <ns0:c r="I26" s="31"/>
      <ns0:c r="J26" s="31" t="s">
        <ns0:v>61</ns0:v>
      </ns0:c>
      <ns0:c r="K26" s="39">
        <ns0:v>2000000</ns0:v>
      </ns0:c>
      <ns0:c r="L26" s="39" t="n">
        <ns0:f>K26*6</ns0:f>
        <ns0:v>12000000</ns0:v>
      </ns0:c>
      <ns0:c r="M26" s="48"/>
      <ns0:c r="N26" s="48"/>
      <ns0:c r="O26" s="48"/>
      <ns0:c r="P26" s="48"/>
      <ns0:c r="Q26" s="48"/>
    </ns0:row>
    <ns0:row r="27" s="1" customFormat="1" ht="41.25" customHeight="1">
      <ns0:c r="A27" s="31">
        <ns0:v>10</ns0:v>
      </ns0:c>
      <ns0:c r="B27" s="32" t="s">
        <ns0:v>62</ns0:v>
      </ns0:c>
      <ns0:c r="C27" s="43" t="s">
        <ns0:v>63</ns0:v>
      </ns0:c>
      <ns0:c r="D27" s="44"/>
      <ns0:c r="E27" s="45"/>
      <ns0:c r="F27" s="31"/>
      <ns0:c r="G27" s="31"/>
      <ns0:c r="H27" s="37" t="s">
        <ns0:v>64</ns0:v>
      </ns0:c>
      <ns0:c r="I27" s="31"/>
      <ns0:c r="J27" s="31" t="s">
        <ns0:v>65</ns0:v>
      </ns0:c>
      <ns0:c r="K27" s="39">
        <ns0:v>2000000</ns0:v>
      </ns0:c>
      <ns0:c r="L27" s="39" t="n">
        <ns0:f>K27*8</ns0:f>
        <ns0:v>16000000</ns0:v>
      </ns0:c>
      <ns0:c r="M27" s="48"/>
      <ns0:c r="N27" s="48"/>
      <ns0:c r="O27" s="48"/>
      <ns0:c r="P27" s="48"/>
      <ns0:c r="Q27" s="48"/>
    </ns0:row>
    <ns0:row r="28" s="1" customFormat="1" ht="28.200000762939453" customHeight="1">
      <ns0:c r="A28" s="49" t="s">
        <ns0:v>66</ns0:v>
      </ns0:c>
      <ns0:c r="B28" s="49"/>
      <ns0:c r="C28" s="49"/>
      <ns0:c r="D28" s="49"/>
      <ns0:c r="E28" s="49"/>
      <ns0:c r="F28" s="49"/>
      <ns0:c r="G28" s="49"/>
      <ns0:c r="H28" s="49"/>
      <ns0:c r="I28" s="49"/>
      <ns0:c r="J28" s="49"/>
      <ns0:c r="K28" s="49"/>
      <ns0:c r="L28" s="49"/>
    </ns0:row>
    <ns0:row r="29" s="1" customFormat="1" ht="42.599998474121094" customHeight="1">
      <ns0:c r="A29" s="31">
        <ns0:v>11</ns0:v>
      </ns0:c>
      <ns0:c r="B29" s="32" t="s">
        <ns0:v>67</ns0:v>
      </ns0:c>
      <ns0:c r="C29" s="43" t="s">
        <ns0:v>68</ns0:v>
      </ns0:c>
      <ns0:c r="D29" s="44"/>
      <ns0:c r="E29" s="45"/>
      <ns0:c r="F29" s="31"/>
      <ns0:c r="G29" s="31"/>
      <ns0:c r="H29" s="31" t="s">
        <ns0:v>69</ns0:v>
      </ns0:c>
      <ns0:c r="I29" s="31"/>
      <ns0:c r="J29" s="31" t="s">
        <ns0:v>70</ns0:v>
      </ns0:c>
      <ns0:c r="K29" s="39">
        <ns0:v>21525000</ns0:v>
      </ns0:c>
      <ns0:c r="L29" s="39" t="n">
        <ns0:f>K29*1</ns0:f>
        <ns0:v>21525000</ns0:v>
      </ns0:c>
      <ns0:c r="M29" s="48"/>
      <ns0:c r="N29" s="48"/>
      <ns0:c r="O29" s="48"/>
      <ns0:c r="P29" s="48"/>
      <ns0:c r="Q29" s="48"/>
    </ns0:row>
    <ns0:row r="30" s="1" customFormat="1" ht="48" customHeight="1">
      <ns0:c r="A30" s="31">
        <ns0:v>12</ns0:v>
      </ns0:c>
      <ns0:c r="B30" s="32" t="s">
        <ns0:v>71</ns0:v>
      </ns0:c>
      <ns0:c r="C30" s="43" t="s">
        <ns0:v>72</ns0:v>
      </ns0:c>
      <ns0:c r="D30" s="44"/>
      <ns0:c r="E30" s="45"/>
      <ns0:c r="F30" s="31"/>
      <ns0:c r="G30" s="31"/>
      <ns0:c r="H30" s="31" t="s">
        <ns0:v>73</ns0:v>
      </ns0:c>
      <ns0:c r="I30" s="31"/>
      <ns0:c r="J30" s="31" t="s">
        <ns0:v>74</ns0:v>
      </ns0:c>
      <ns0:c r="K30" s="39">
        <ns0:v>12480000</ns0:v>
      </ns0:c>
      <ns0:c r="L30" s="39" t="n">
        <ns0:f>K30*1</ns0:f>
        <ns0:v>12480000</ns0:v>
      </ns0:c>
      <ns0:c r="M30" s="48"/>
      <ns0:c r="N30" s="48"/>
      <ns0:c r="O30" s="48"/>
      <ns0:c r="P30" s="48"/>
      <ns0:c r="Q30" s="48"/>
    </ns0:row>
    <ns0:row r="31" s="1" customFormat="1" ht="21" customHeight="1">
      <ns0:c r="A31" s="31">
        <ns0:v>13</ns0:v>
      </ns0:c>
      <ns0:c r="B31" s="31" t="s">
        <ns0:v>75</ns0:v>
      </ns0:c>
      <ns0:c r="C31" s="43" t="s">
        <ns0:v>76</ns0:v>
      </ns0:c>
      <ns0:c r="D31" s="44"/>
      <ns0:c r="E31" s="45"/>
      <ns0:c r="F31" s="31"/>
      <ns0:c r="G31" s="31"/>
      <ns0:c r="H31" s="31" t="s">
        <ns0:v>77</ns0:v>
      </ns0:c>
      <ns0:c r="I31" s="31"/>
      <ns0:c r="J31" s="31" t="s">
        <ns0:v>47</ns0:v>
      </ns0:c>
      <ns0:c r="K31" s="39">
        <ns0:v>2300000</ns0:v>
      </ns0:c>
      <ns0:c r="L31" s="39" t="n">
        <ns0:f>K31*1</ns0:f>
        <ns0:v>2300000</ns0:v>
      </ns0:c>
    </ns0:row>
    <ns0:row r="32" s="1" customFormat="1" ht="28.5" customHeight="1">
      <ns0:c r="A32" s="31">
        <ns0:v>14</ns0:v>
      </ns0:c>
      <ns0:c r="B32" s="31"/>
      <ns0:c r="C32" s="43" t="s">
        <ns0:v>78</ns0:v>
      </ns0:c>
      <ns0:c r="D32" s="44"/>
      <ns0:c r="E32" s="45"/>
      <ns0:c r="F32" s="31"/>
      <ns0:c r="G32" s="31"/>
      <ns0:c r="H32" s="31" t="s">
        <ns0:v>79</ns0:v>
      </ns0:c>
      <ns0:c r="I32" s="31"/>
      <ns0:c r="J32" s="31" t="s">
        <ns0:v>80</ns0:v>
      </ns0:c>
      <ns0:c r="K32" s="39">
        <ns0:v>765000</ns0:v>
      </ns0:c>
      <ns0:c r="L32" s="39" t="n">
        <ns0:f>K32*3</ns0:f>
        <ns0:v>2295000</ns0:v>
      </ns0:c>
    </ns0:row>
    <ns0:row r="33" s="1" customFormat="1" ht="51.75" customHeight="1">
      <ns0:c r="A33" s="31">
        <ns0:v>15</ns0:v>
      </ns0:c>
      <ns0:c r="B33" s="32" t="s">
        <ns0:v>81</ns0:v>
      </ns0:c>
      <ns0:c r="C33" s="43" t="s">
        <ns0:v>82</ns0:v>
      </ns0:c>
      <ns0:c r="D33" s="44"/>
      <ns0:c r="E33" s="45"/>
      <ns0:c r="F33" s="31"/>
      <ns0:c r="G33" s="31"/>
      <ns0:c r="H33" s="50" t="s">
        <ns0:v>83</ns0:v>
      </ns0:c>
      <ns0:c r="I33" s="31"/>
      <ns0:c r="J33" s="31" t="s">
        <ns0:v>50</ns0:v>
      </ns0:c>
      <ns0:c r="K33" s="39">
        <ns0:v>460000</ns0:v>
      </ns0:c>
      <ns0:c r="L33" s="39" t="n">
        <ns0:f>K33*5</ns0:f>
        <ns0:v>2300000</ns0:v>
      </ns0:c>
    </ns0:row>
    <ns0:row r="34" s="1" customFormat="1" ht="18.600000381469727" customHeight="1">
      <ns0:c r="A34" s="31">
        <ns0:v>16</ns0:v>
      </ns0:c>
      <ns0:c r="B34" s="31" t="s">
        <ns0:v>84</ns0:v>
      </ns0:c>
      <ns0:c r="C34" s="43" t="s">
        <ns0:v>85</ns0:v>
      </ns0:c>
      <ns0:c r="D34" s="44"/>
      <ns0:c r="E34" s="45"/>
      <ns0:c r="F34" s="31"/>
      <ns0:c r="G34" s="31"/>
      <ns0:c r="H34" s="31" t="s">
        <ns0:v>86</ns0:v>
      </ns0:c>
      <ns0:c r="I34" s="31"/>
      <ns0:c r="J34" s="31" t="s">
        <ns0:v>87</ns0:v>
      </ns0:c>
      <ns0:c r="K34" s="39">
        <ns0:v>230000</ns0:v>
      </ns0:c>
      <ns0:c r="L34" s="39" t="n">
        <ns0:f>K34*14</ns0:f>
        <ns0:v>3220000</ns0:v>
      </ns0:c>
    </ns0:row>
    <ns0:row r="35" s="1" customFormat="1" ht="18.600000381469727" customHeight="1">
      <ns0:c r="A35" s="31">
        <ns0:v>17</ns0:v>
      </ns0:c>
      <ns0:c r="B35" s="31"/>
      <ns0:c r="C35" s="43" t="s">
        <ns0:v>88</ns0:v>
      </ns0:c>
      <ns0:c r="D35" s="44"/>
      <ns0:c r="E35" s="45"/>
      <ns0:c r="F35" s="31"/>
      <ns0:c r="G35" s="31"/>
      <ns0:c r="H35" s="31" t="s">
        <ns0:v>89</ns0:v>
      </ns0:c>
      <ns0:c r="I35" s="31"/>
      <ns0:c r="J35" s="31" t="s">
        <ns0:v>90</ns0:v>
      </ns0:c>
      <ns0:c r="K35" s="39">
        <ns0:v>5850000</ns0:v>
      </ns0:c>
      <ns0:c r="L35" s="39" t="n">
        <ns0:f>K35*13</ns0:f>
        <ns0:v>76050000</ns0:v>
      </ns0:c>
    </ns0:row>
    <ns0:row r="36" s="1" customFormat="1" ht="18.600000381469727" customHeight="1">
      <ns0:c r="A36" s="31">
        <ns0:v>18</ns0:v>
      </ns0:c>
      <ns0:c r="B36" s="31"/>
      <ns0:c r="C36" s="43" t="s">
        <ns0:v>91</ns0:v>
      </ns0:c>
      <ns0:c r="D36" s="44"/>
      <ns0:c r="E36" s="45"/>
      <ns0:c r="F36" s="31"/>
      <ns0:c r="G36" s="31"/>
      <ns0:c r="H36" s="51" t="s">
        <ns0:v>92</ns0:v>
      </ns0:c>
      <ns0:c r="I36" s="31"/>
      <ns0:c r="J36" s="31" t="s">
        <ns0:v>93</ns0:v>
      </ns0:c>
      <ns0:c r="K36" s="39">
        <ns0:v>55650000</ns0:v>
      </ns0:c>
      <ns0:c r="L36" s="39" t="n">
        <ns0:f>K36*1</ns0:f>
        <ns0:v>55650000</ns0:v>
      </ns0:c>
    </ns0:row>
    <ns0:row r="37" s="1" customFormat="1" ht="18.600000381469727" customHeight="1">
      <ns0:c r="A37" s="31">
        <ns0:v>19</ns0:v>
      </ns0:c>
      <ns0:c r="B37" s="31"/>
      <ns0:c r="C37" s="43" t="s">
        <ns0:v>94</ns0:v>
      </ns0:c>
      <ns0:c r="D37" s="44"/>
      <ns0:c r="E37" s="45"/>
      <ns0:c r="F37" s="31"/>
      <ns0:c r="G37" s="31"/>
      <ns0:c r="H37" s="31" t="s">
        <ns0:v>95</ns0:v>
      </ns0:c>
      <ns0:c r="I37" s="31"/>
      <ns0:c r="J37" s="31" t="s">
        <ns0:v>96</ns0:v>
      </ns0:c>
      <ns0:c r="K37" s="39">
        <ns0:v>12000000</ns0:v>
      </ns0:c>
      <ns0:c r="L37" s="39" t="n">
        <ns0:f>K37*1</ns0:f>
        <ns0:v>12000000</ns0:v>
      </ns0:c>
    </ns0:row>
    <ns0:row r="38" s="1" customFormat="1" ht="18.600000381469727" customHeight="1">
      <ns0:c r="A38" s="31">
        <ns0:v>20</ns0:v>
      </ns0:c>
      <ns0:c r="B38" s="31"/>
      <ns0:c r="C38" s="43" t="s">
        <ns0:v>97</ns0:v>
      </ns0:c>
      <ns0:c r="D38" s="44"/>
      <ns0:c r="E38" s="45"/>
      <ns0:c r="F38" s="31"/>
      <ns0:c r="G38" s="31"/>
      <ns0:c r="H38" s="31" t="s">
        <ns0:v>98</ns0:v>
      </ns0:c>
      <ns0:c r="I38" s="31"/>
      <ns0:c r="J38" s="31" t="s">
        <ns0:v>99</ns0:v>
      </ns0:c>
      <ns0:c r="K38" s="39">
        <ns0:v>21500000</ns0:v>
      </ns0:c>
      <ns0:c r="L38" s="39" t="n">
        <ns0:f>K38*1</ns0:f>
        <ns0:v>21500000</ns0:v>
      </ns0:c>
    </ns0:row>
    <ns0:row r="39" s="1" customFormat="1" ht="18.600000381469727" customHeight="1">
      <ns0:c r="A39" s="31">
        <ns0:v>21</ns0:v>
      </ns0:c>
      <ns0:c r="B39" s="31"/>
      <ns0:c r="C39" s="43" t="s">
        <ns0:v>100</ns0:v>
      </ns0:c>
      <ns0:c r="D39" s="44"/>
      <ns0:c r="E39" s="45"/>
      <ns0:c r="F39" s="31"/>
      <ns0:c r="G39" s="31"/>
      <ns0:c r="H39" s="31" t="s">
        <ns0:v>101</ns0:v>
      </ns0:c>
      <ns0:c r="I39" s="31"/>
      <ns0:c r="J39" s="31" t="s">
        <ns0:v>102</ns0:v>
      </ns0:c>
      <ns0:c r="K39" s="39">
        <ns0:v>370000000</ns0:v>
      </ns0:c>
      <ns0:c r="L39" s="39" t="n">
        <ns0:f>K39*1</ns0:f>
        <ns0:v>370000000</ns0:v>
      </ns0:c>
    </ns0:row>
    <ns0:row r="40" s="1" customFormat="1" ht="33.75" customHeight="1">
      <ns0:c r="A40" s="53"/>
      <ns0:c r="B40" s="54"/>
      <ns0:c r="C40" s="54"/>
      <ns0:c r="D40" s="54"/>
      <ns0:c r="E40" s="54"/>
      <ns0:c r="F40" s="54"/>
      <ns0:c r="G40" s="54"/>
      <ns0:c r="H40" s="54"/>
      <ns0:c r="I40" s="54"/>
      <ns0:c r="J40" s="55"/>
      <ns0:c r="K40" s="56" t="s">
        <ns0:v>103</ns0:v>
      </ns0:c>
      <ns0:c r="L40" s="57" t="n">
        <ns0:f>SUM(L18:L27,L29:L39)</ns0:f>
        <ns0:v>712020000</ns0:v>
      </ns0:c>
    </ns0:row>
    <ns0:row r="41" s="1" customFormat="1" ht="18.600000381469727" customHeight="1">
      <ns0:c r="A41"/>
      <ns0:c r="B41"/>
      <ns0:c r="C41"/>
      <ns0:c r="D41"/>
      <ns0:c r="E41"/>
      <ns0:c r="F41"/>
      <ns0:c r="G41"/>
      <ns0:c r="H41"/>
      <ns0:c r="I41"/>
      <ns0:c r="J41"/>
      <ns0:c r="K41"/>
      <ns0:c r="L41"/>
    </ns0:row>
    <ns0:row r="42" s="1" customFormat="1" ht="18.600000381469727" customHeight="1">
      <ns0:c r="A42"/>
      <ns0:c r="B42"/>
      <ns0:c r="C42"/>
      <ns0:c r="D42"/>
      <ns0:c r="E42"/>
      <ns0:c r="F42"/>
      <ns0:c r="G42"/>
      <ns0:c r="H42"/>
      <ns0:c r="I42"/>
      <ns0:c r="J42"/>
      <ns0:c r="K42"/>
      <ns0:c r="L42"/>
    </ns0:row>
    <ns0:row r="43" s="1" customFormat="1" ht="18.600000381469727" customHeight="1">
      <ns0:c r="A43"/>
      <ns0:c r="B43"/>
      <ns0:c r="C43"/>
      <ns0:c r="D43"/>
      <ns0:c r="E43"/>
      <ns0:c r="F43"/>
      <ns0:c r="G43"/>
      <ns0:c r="H43"/>
      <ns0:c r="I43"/>
      <ns0:c r="J43"/>
      <ns0:c r="K43"/>
      <ns0:c r="L43"/>
    </ns0:row>
    <ns0:row r="44" s="1" customFormat="1" ht="18.600000381469727" customHeight="1">
      <ns0:c r="A44"/>
      <ns0:c r="B44"/>
      <ns0:c r="C44"/>
      <ns0:c r="D44"/>
      <ns0:c r="E44"/>
      <ns0:c r="F44"/>
      <ns0:c r="G44"/>
      <ns0:c r="H44"/>
      <ns0:c r="I44"/>
      <ns0:c r="J44"/>
      <ns0:c r="K44"/>
      <ns0:c r="L44"/>
    </ns0:row>
    <ns0:row r="45" s="1" customFormat="1" ht="18.600000381469727" customHeight="1">
      <ns0:c r="A45"/>
      <ns0:c r="B45"/>
      <ns0:c r="C45"/>
      <ns0:c r="D45"/>
      <ns0:c r="E45"/>
      <ns0:c r="F45"/>
      <ns0:c r="G45"/>
      <ns0:c r="H45"/>
      <ns0:c r="I45"/>
      <ns0:c r="J45"/>
      <ns0:c r="K45"/>
      <ns0:c r="L45"/>
    </ns0:row>
    <ns0:row r="46" s="1" customFormat="1" ht="18.600000381469727" customHeight="1">
      <ns0:c r="A46"/>
      <ns0:c r="B46"/>
      <ns0:c r="C46"/>
      <ns0:c r="D46"/>
      <ns0:c r="E46"/>
      <ns0:c r="F46"/>
      <ns0:c r="G46"/>
      <ns0:c r="H46"/>
      <ns0:c r="I46"/>
      <ns0:c r="J46"/>
      <ns0:c r="K46"/>
      <ns0:c r="L46"/>
    </ns0:row>
    <ns0:row r="47" s="1" customFormat="1" ht="18.600000381469727" customHeight="1">
      <ns0:c r="A47"/>
      <ns0:c r="B47"/>
      <ns0:c r="C47"/>
      <ns0:c r="D47"/>
      <ns0:c r="E47"/>
      <ns0:c r="F47"/>
      <ns0:c r="G47"/>
      <ns0:c r="H47"/>
      <ns0:c r="I47"/>
      <ns0:c r="J47"/>
      <ns0:c r="K47"/>
      <ns0:c r="L47"/>
    </ns0:row>
    <ns0:row r="48" s="1" customFormat="1" ht="33.75" customHeight="1">
      <ns0:c r="A48"/>
      <ns0:c r="B48"/>
      <ns0:c r="C48"/>
      <ns0:c r="D48"/>
      <ns0:c r="E48"/>
      <ns0:c r="F48"/>
      <ns0:c r="G48"/>
      <ns0:c r="H48"/>
      <ns0:c r="I48"/>
      <ns0:c r="J48"/>
      <ns0:c r="K48"/>
      <ns0:c r="L48"/>
    </ns0:row>
  </ns0:sheetData>
  <ns0:mergeCells>
    <ns0:mergeCell ref="C1:J1"/>
    <ns0:mergeCell ref="C2:J2"/>
    <ns0:mergeCell ref="C3:J3"/>
    <ns0:mergeCell ref="C5:J5"/>
    <ns0:mergeCell ref="E7:K7"/>
    <ns0:mergeCell ref="C8:D8"/>
    <ns0:mergeCell ref="C13:E13"/>
    <ns0:mergeCell ref="A17:L17"/>
    <ns0:mergeCell ref="C18:E18"/>
    <ns0:mergeCell ref="C19:E19"/>
    <ns0:mergeCell ref="C20:E20"/>
    <ns0:mergeCell ref="C21:E21"/>
    <ns0:mergeCell ref="C22:E22"/>
    <ns0:mergeCell ref="C23:E23"/>
    <ns0:mergeCell ref="C24:E24"/>
    <ns0:mergeCell ref="R24:T24"/>
    <ns0:mergeCell ref="C25:E25"/>
    <ns0:mergeCell ref="M25:Q25"/>
    <ns0:mergeCell ref="C26:E26"/>
    <ns0:mergeCell ref="M26:Q26"/>
    <ns0:mergeCell ref="C27:E27"/>
    <ns0:mergeCell ref="M27:Q27"/>
    <ns0:mergeCell ref="A28:L28"/>
    <ns0:mergeCell ref="C29:E29"/>
    <ns0:mergeCell ref="M29:Q29"/>
    <ns0:mergeCell ref="C30:E30"/>
    <ns0:mergeCell ref="M30:Q30"/>
    <ns0:mergeCell ref="C31:E31"/>
    <ns0:mergeCell ref="C32:E32"/>
    <ns0:mergeCell ref="C33:E33"/>
    <ns0:mergeCell ref="C34:E34"/>
    <ns0:mergeCell ref="C35:E35"/>
    <ns0:mergeCell ref="C36:E36"/>
    <ns0:mergeCell ref="C37:E37"/>
    <ns0:mergeCell ref="C38:E38"/>
    <ns0:mergeCell ref="C39:E39"/>
    <ns0:mergeCell ref="A15:A16"/>
    <ns0:mergeCell ref="B15:B16"/>
    <ns0:mergeCell ref="B31:B32"/>
    <ns0:mergeCell ref="F15:F16"/>
    <ns0:mergeCell ref="G15:G16"/>
    <ns0:mergeCell ref="I15:I16"/>
    <ns0:mergeCell ref="K15:K16"/>
    <ns0:mergeCell ref="L15:L16"/>
    <ns0:mergeCell ref="C15:E16"/>
    <ns0:mergeCell ref="C9:E10"/>
    <ns0:mergeCell ref="B34:B39"/>
    <ns0:mergeCell ref="A40:J40"/>
  </ns0:mergeCells>
  <ns0:conditionalFormatting sqref="H37:H37">
    <ns0:cfRule type="expression" dxfId="0" priority="3">
      <ns0:formula>ROW()=CELL("Row")</ns0:formula>
    </ns0:cfRule>
  </ns0:conditionalFormatting>
  <ns0:conditionalFormatting sqref="H33:H34">
    <ns0:cfRule type="expression" dxfId="0" priority="4">
      <ns0:formula>ROW()=CELL("Row")</ns0:formula>
    </ns0:cfRule>
  </ns0:conditionalFormatting>
  <ns0:conditionalFormatting sqref="H42:H43">
    <ns0:cfRule type="expression" dxfId="0" priority="1">
      <ns0:formula>ROW()=CELL("Row")</ns0:formula>
    </ns0:cfRule>
  </ns0:conditionalFormatting>
  <ns0:pageMargins left="0.7" right="0.7" top="0.75" bottom="0.75" header="0.3" footer="0.3"/>
  <ns0:drawing ns1:id="Ra8689962513246ea"/>
</ns0:worksheet>
</file>