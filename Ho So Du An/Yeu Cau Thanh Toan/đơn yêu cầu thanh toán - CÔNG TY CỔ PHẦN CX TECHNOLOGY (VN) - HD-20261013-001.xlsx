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712TR" sheetId="1" state="visible" r:id="rId1"/>
  </sheets>
  <definedNames>
    <definedName name="_xlnm.Print_Area" localSheetId="0">'712TR'!$A$1:$I$29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_-&quot;$&quot;* #,##0_-;\-&quot;$&quot;* #,##0_-;_-&quot;$&quot;* &quot;-&quot;??_-;_-@_-"/>
    <numFmt numFmtId="165" formatCode="m&quot;月&quot;d&quot;日&quot;"/>
    <numFmt numFmtId="166" formatCode="_-&quot;$&quot;* #,##0.00_-;\-&quot;$&quot;* #,##0.00_-;_-&quot;$&quot;* &quot;-&quot;??_-;_-@_-"/>
    <numFmt numFmtId="167" formatCode="0\ &quot;SET&quot;"/>
    <numFmt numFmtId="168" formatCode="[$VND]\ #,##0_);\([$VND]\ #,##0\)"/>
    <numFmt numFmtId="169" formatCode="_-&quot;$&quot;* #,##0.0_-;\-&quot;$&quot;* #,##0.0_-;_-&quot;$&quot;* &quot;-&quot;?_-;_-@_-"/>
  </numFmts>
  <fonts count="44">
    <font>
      <name val="Calibri"/>
      <charset val="136"/>
      <family val="2"/>
      <color theme="1"/>
      <sz val="12"/>
      <scheme val="minor"/>
    </font>
    <font>
      <name val="Calibri"/>
      <charset val="136"/>
      <family val="2"/>
      <color theme="1"/>
      <sz val="12"/>
      <scheme val="minor"/>
    </font>
    <font>
      <name val="Calibri"/>
      <charset val="136"/>
      <family val="2"/>
      <sz val="9"/>
      <scheme val="minor"/>
    </font>
    <font>
      <name val="新細明體"/>
      <charset val="136"/>
      <family val="1"/>
      <sz val="9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sz val="24"/>
    </font>
    <font>
      <name val="Times New Roman"/>
      <family val="1"/>
      <b val="1"/>
      <sz val="18"/>
    </font>
    <font>
      <name val="微軟正黑體"/>
      <charset val="136"/>
      <family val="2"/>
      <color rgb="FFC00000"/>
      <sz val="12"/>
    </font>
    <font>
      <name val="微軟正黑體"/>
      <charset val="136"/>
      <family val="2"/>
      <sz val="12"/>
    </font>
    <font>
      <name val="細明體"/>
      <charset val="136"/>
      <family val="1"/>
      <b val="1"/>
      <sz val="18"/>
    </font>
    <font>
      <name val="Arial"/>
      <family val="2"/>
      <b val="1"/>
      <sz val="16"/>
    </font>
    <font>
      <name val="Arial"/>
      <family val="2"/>
      <b val="1"/>
      <sz val="14"/>
    </font>
    <font>
      <name val="Microsoft YaHei"/>
      <charset val="134"/>
      <family val="2"/>
      <b val="1"/>
      <sz val="18"/>
    </font>
    <font>
      <name val="Microsoft YaHei"/>
      <charset val="134"/>
      <family val="2"/>
      <b val="1"/>
      <sz val="12"/>
    </font>
    <font>
      <name val="Microsoft YaHei"/>
      <charset val="134"/>
      <family val="2"/>
      <sz val="16"/>
    </font>
    <font>
      <name val="Microsoft YaHei"/>
      <charset val="134"/>
      <family val="2"/>
      <sz val="14"/>
    </font>
    <font>
      <name val="Microsoft YaHei"/>
      <charset val="134"/>
      <family val="2"/>
      <b val="1"/>
      <sz val="10"/>
    </font>
    <font>
      <name val="Calibri"/>
      <charset val="163"/>
      <family val="2"/>
      <b val="1"/>
      <sz val="10"/>
    </font>
    <font>
      <name val="Arial"/>
      <family val="2"/>
      <b val="1"/>
      <sz val="18"/>
    </font>
    <font>
      <name val="Microsoft YaHei"/>
      <charset val="134"/>
      <family val="2"/>
      <b val="1"/>
      <sz val="24"/>
      <u val="single"/>
    </font>
    <font>
      <name val="STZhongsong"/>
      <charset val="134"/>
      <b val="1"/>
      <sz val="24"/>
      <u val="single"/>
    </font>
    <font>
      <name val="Times New Roman"/>
      <family val="1"/>
      <sz val="14"/>
    </font>
    <font>
      <name val="細明體"/>
      <charset val="136"/>
      <family val="2"/>
      <b val="1"/>
      <sz val="12"/>
    </font>
    <font>
      <name val="細明體"/>
      <charset val="136"/>
      <family val="2"/>
      <b val="1"/>
      <sz val="10"/>
    </font>
    <font>
      <name val="Segoe UI"/>
      <charset val="238"/>
      <family val="2"/>
      <b val="1"/>
      <color theme="1"/>
      <sz val="12"/>
    </font>
    <font>
      <name val="Calibri"/>
      <charset val="163"/>
      <family val="2"/>
      <b val="1"/>
      <color theme="1"/>
      <sz val="12"/>
    </font>
    <font>
      <name val="微軟正黑體"/>
      <charset val="136"/>
      <family val="2"/>
      <color theme="1"/>
      <sz val="18"/>
    </font>
    <font>
      <name val="新細明體"/>
      <charset val="136"/>
      <family val="2"/>
      <b val="1"/>
      <sz val="12"/>
    </font>
    <font>
      <name val="Arial"/>
      <family val="2"/>
      <b val="1"/>
      <sz val="12"/>
    </font>
    <font>
      <name val="Arial"/>
      <family val="2"/>
      <sz val="12"/>
    </font>
    <font>
      <name val="微軟正黑體"/>
      <charset val="136"/>
      <family val="2"/>
      <b val="1"/>
      <color theme="1"/>
      <sz val="16"/>
    </font>
    <font>
      <name val="Calibri"/>
      <charset val="163"/>
      <family val="2"/>
      <b val="1"/>
      <color theme="1"/>
      <sz val="16"/>
    </font>
    <font>
      <name val="Calibri"/>
      <charset val="163"/>
      <family val="2"/>
      <color theme="1"/>
      <sz val="12"/>
    </font>
    <font>
      <name val="Calibri"/>
      <family val="2"/>
      <sz val="14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b val="1"/>
      <sz val="14"/>
    </font>
    <font>
      <name val="Segoe UI"/>
      <charset val="238"/>
      <family val="2"/>
      <b val="1"/>
      <sz val="10"/>
    </font>
    <font>
      <name val="微軟正黑體"/>
      <charset val="136"/>
      <family val="2"/>
      <color theme="1"/>
      <sz val="14"/>
    </font>
    <font>
      <name val="Calibri"/>
      <charset val="163"/>
      <family val="2"/>
      <sz val="16"/>
    </font>
    <font>
      <name val="Calibri"/>
      <charset val="163"/>
      <family val="2"/>
      <sz val="12"/>
    </font>
    <font>
      <name val="Microsoft YaHei"/>
      <charset val="134"/>
      <family val="2"/>
      <b val="1"/>
      <color theme="1"/>
      <sz val="12"/>
    </font>
    <font>
      <name val="微軟正黑體"/>
      <charset val="134"/>
      <family val="2"/>
      <b val="1"/>
      <color theme="1"/>
      <sz val="12"/>
    </font>
    <font>
      <name val="微軟正黑體"/>
      <charset val="136"/>
      <family val="1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 applyAlignment="1">
      <alignment vertical="center"/>
    </xf>
    <xf numFmtId="166" fontId="1" fillId="0" borderId="0" applyAlignment="1">
      <alignment vertical="center"/>
    </xf>
    <xf numFmtId="9" fontId="1" fillId="0" borderId="0" applyAlignment="1">
      <alignment vertical="center"/>
    </xf>
  </cellStyleXfs>
  <cellXfs count="10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0" fontId="5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164" fontId="9" fillId="0" borderId="1" applyAlignment="1" pivotButton="0" quotePrefix="0" xfId="1">
      <alignment vertical="center"/>
    </xf>
    <xf numFmtId="0" fontId="7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49" fontId="10" fillId="0" borderId="0" applyAlignment="1" pivotButton="0" quotePrefix="0" xfId="0">
      <alignment horizontal="left" vertical="center"/>
    </xf>
    <xf numFmtId="49" fontId="9" fillId="0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 wrapText="1"/>
    </xf>
    <xf numFmtId="164" fontId="9" fillId="0" borderId="1" applyAlignment="1" pivotButton="0" quotePrefix="0" xfId="1">
      <alignment vertical="center" wrapText="1"/>
    </xf>
    <xf numFmtId="166" fontId="0" fillId="0" borderId="0" applyAlignment="1" pivotButton="0" quotePrefix="0" xfId="0">
      <alignment vertical="center"/>
    </xf>
    <xf numFmtId="164" fontId="9" fillId="0" borderId="6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 wrapText="1"/>
    </xf>
    <xf numFmtId="49" fontId="13" fillId="0" borderId="0" applyAlignment="1" pivotButton="0" quotePrefix="0" xfId="0">
      <alignment horizontal="right" vertical="center" wrapText="1"/>
    </xf>
    <xf numFmtId="49" fontId="14" fillId="0" borderId="0" applyAlignment="1" pivotButton="0" quotePrefix="0" xfId="0">
      <alignment horizontal="right" vertical="center" wrapText="1"/>
    </xf>
    <xf numFmtId="0" fontId="29" fillId="0" borderId="0" applyAlignment="1" pivotButton="0" quotePrefix="0" xfId="0">
      <alignment horizontal="right" vertical="center"/>
    </xf>
    <xf numFmtId="49" fontId="4" fillId="2" borderId="3" applyAlignment="1" pivotButton="0" quotePrefix="0" xfId="0">
      <alignment horizontal="center" vertical="center" wrapText="1"/>
    </xf>
    <xf numFmtId="168" fontId="9" fillId="0" borderId="1" applyAlignment="1" pivotButton="0" quotePrefix="0" xfId="0">
      <alignment horizontal="center" vertical="center" wrapText="1"/>
    </xf>
    <xf numFmtId="9" fontId="9" fillId="0" borderId="1" applyAlignment="1" pivotButton="0" quotePrefix="0" xfId="2">
      <alignment horizontal="right" vertical="center" wrapText="1"/>
    </xf>
    <xf numFmtId="0" fontId="5" fillId="0" borderId="0" applyAlignment="1" pivotButton="0" quotePrefix="0" xfId="0">
      <alignment horizontal="left" vertical="center"/>
    </xf>
    <xf numFmtId="49" fontId="3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49" fontId="36" fillId="0" borderId="5" applyAlignment="1" pivotButton="0" quotePrefix="0" xfId="0">
      <alignment horizontal="center" vertical="center"/>
    </xf>
    <xf numFmtId="49" fontId="3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vertical="top"/>
    </xf>
    <xf numFmtId="49" fontId="9" fillId="0" borderId="1" applyAlignment="1" pivotButton="0" quotePrefix="0" xfId="0">
      <alignment horizontal="left" vertical="center" wrapText="1"/>
    </xf>
    <xf numFmtId="164" fontId="0" fillId="0" borderId="0" applyAlignment="1" pivotButton="0" quotePrefix="0" xfId="1">
      <alignment vertical="center"/>
    </xf>
    <xf numFmtId="169" fontId="0" fillId="0" borderId="0" applyAlignment="1" pivotButton="0" quotePrefix="0" xfId="0">
      <alignment vertical="center"/>
    </xf>
    <xf numFmtId="49" fontId="35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14" fontId="16" fillId="0" borderId="0" applyAlignment="1" pivotButton="0" quotePrefix="0" xfId="0">
      <alignment vertical="center"/>
    </xf>
    <xf numFmtId="167" fontId="40" fillId="0" borderId="1" applyAlignment="1" pivotButton="0" quotePrefix="1" xfId="0">
      <alignment horizontal="center" vertical="center" wrapText="1"/>
    </xf>
    <xf numFmtId="0" fontId="42" fillId="2" borderId="3" applyAlignment="1" pivotButton="0" quotePrefix="0" xfId="0">
      <alignment horizontal="center" vertical="center" wrapText="1"/>
    </xf>
    <xf numFmtId="0" fontId="42" fillId="2" borderId="4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left" vertical="center"/>
    </xf>
    <xf numFmtId="0" fontId="5" fillId="0" borderId="20" applyAlignment="1" pivotButton="0" quotePrefix="0" xfId="0">
      <alignment horizontal="left" vertical="center"/>
    </xf>
    <xf numFmtId="0" fontId="5" fillId="0" borderId="21" applyAlignment="1" pivotButton="0" quotePrefix="0" xfId="0">
      <alignment horizontal="left" vertical="center"/>
    </xf>
    <xf numFmtId="0" fontId="31" fillId="0" borderId="8" applyAlignment="1" pivotButton="0" quotePrefix="0" xfId="0">
      <alignment horizontal="center" vertical="center"/>
    </xf>
    <xf numFmtId="0" fontId="31" fillId="0" borderId="9" applyAlignment="1" pivotButton="0" quotePrefix="0" xfId="0">
      <alignment horizontal="center" vertical="center"/>
    </xf>
    <xf numFmtId="0" fontId="31" fillId="0" borderId="10" applyAlignment="1" pivotButton="0" quotePrefix="0" xfId="0">
      <alignment horizontal="center" vertical="center"/>
    </xf>
    <xf numFmtId="164" fontId="27" fillId="0" borderId="12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7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/>
    </xf>
    <xf numFmtId="0" fontId="5" fillId="0" borderId="11" applyAlignment="1" pivotButton="0" quotePrefix="0" xfId="0">
      <alignment horizontal="left" vertical="top"/>
    </xf>
    <xf numFmtId="0" fontId="35" fillId="0" borderId="22" applyAlignment="1" pivotButton="0" quotePrefix="0" xfId="0">
      <alignment horizontal="center" vertical="center"/>
    </xf>
    <xf numFmtId="0" fontId="35" fillId="0" borderId="17" applyAlignment="1" pivotButton="0" quotePrefix="0" xfId="0">
      <alignment horizontal="center" vertical="center"/>
    </xf>
    <xf numFmtId="0" fontId="35" fillId="0" borderId="23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4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49" fontId="39" fillId="0" borderId="0" applyAlignment="1" pivotButton="0" quotePrefix="0" xfId="0">
      <alignment horizontal="left" vertical="center" wrapText="1"/>
    </xf>
    <xf numFmtId="49" fontId="15" fillId="0" borderId="0" applyAlignment="1" pivotButton="0" quotePrefix="0" xfId="0">
      <alignment horizontal="left" vertical="center" wrapText="1"/>
    </xf>
    <xf numFmtId="49" fontId="13" fillId="0" borderId="0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8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1">
      <alignment vertical="center" wrapText="1"/>
    </xf>
    <xf numFmtId="167" fontId="40" fillId="0" borderId="1" applyAlignment="1" pivotButton="0" quotePrefix="1" xfId="0">
      <alignment horizontal="center" vertical="center" wrapText="1"/>
    </xf>
    <xf numFmtId="164" fontId="9" fillId="0" borderId="1" applyAlignment="1" pivotButton="0" quotePrefix="0" xfId="1">
      <alignment vertical="center"/>
    </xf>
    <xf numFmtId="164" fontId="9" fillId="0" borderId="6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29" pivotButton="0" quotePrefix="0" xfId="0"/>
    <xf numFmtId="164" fontId="27" fillId="0" borderId="30" applyAlignment="1" pivotButton="0" quotePrefix="0" xfId="0">
      <alignment horizontal="center" vertical="center"/>
    </xf>
    <xf numFmtId="0" fontId="0" fillId="0" borderId="11" pivotButton="0" quotePrefix="0" xfId="0"/>
    <xf numFmtId="164" fontId="5" fillId="0" borderId="0" applyAlignment="1" pivotButton="0" quotePrefix="0" xfId="1">
      <alignment vertical="center"/>
    </xf>
    <xf numFmtId="0" fontId="5" fillId="0" borderId="30" applyAlignment="1" pivotButton="0" quotePrefix="0" xfId="0">
      <alignment horizontal="left" vertical="top" wrapText="1"/>
    </xf>
    <xf numFmtId="0" fontId="35" fillId="0" borderId="3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3" pivotButton="0" quotePrefix="0" xfId="0"/>
    <xf numFmtId="0" fontId="5" fillId="0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5" pivotButton="0" quotePrefix="0" xfId="0"/>
    <xf numFmtId="0" fontId="5" fillId="0" borderId="6" applyAlignment="1" pivotButton="0" quotePrefix="0" xfId="0">
      <alignment horizontal="center" vertical="center"/>
    </xf>
    <xf numFmtId="0" fontId="0" fillId="0" borderId="18" pivotButton="0" quotePrefix="0" xfId="0"/>
    <xf numFmtId="0" fontId="5" fillId="0" borderId="24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 tint="-0.499984740745262"/>
    <outlinePr summaryBelow="1" summaryRight="1"/>
    <pageSetUpPr fitToPage="1"/>
  </sheetPr>
  <dimension ref="A2:N31"/>
  <sheetViews>
    <sheetView tabSelected="1" view="pageBreakPreview" topLeftCell="A11" zoomScale="70" zoomScaleNormal="85" zoomScaleSheetLayoutView="70" workbookViewId="0">
      <selection activeCell="M24" sqref="M24"/>
    </sheetView>
  </sheetViews>
  <sheetFormatPr baseColWidth="8" defaultRowHeight="15.6"/>
  <cols>
    <col width="5.796875" bestFit="1" customWidth="1" style="82" min="1" max="1"/>
    <col width="30.3984375" customWidth="1" style="18" min="2" max="2"/>
    <col width="9" bestFit="1" customWidth="1" style="1" min="3" max="3"/>
    <col width="17.796875" bestFit="1" customWidth="1" style="82" min="4" max="4"/>
    <col width="11.19921875" bestFit="1" customWidth="1" style="1" min="5" max="5"/>
    <col width="19.59765625" customWidth="1" style="82" min="6" max="6"/>
    <col width="14.59765625" customWidth="1" style="82" min="7" max="7"/>
    <col width="17.296875" bestFit="1" customWidth="1" style="82" min="8" max="8"/>
    <col width="22.19921875" customWidth="1" style="82" min="9" max="9"/>
    <col width="9.59765625" bestFit="1" customWidth="1" style="82" min="10" max="10"/>
    <col width="19.3984375" bestFit="1" customWidth="1" style="82" min="14" max="14"/>
  </cols>
  <sheetData>
    <row r="2" ht="30.6" customHeight="1" s="82">
      <c r="B2" s="77" t="inlineStr">
        <is>
          <t>浤 詺 資 訊 責 任 有 限 公 司</t>
        </is>
      </c>
    </row>
    <row r="3" ht="21" customHeight="1" s="82">
      <c r="B3" s="78" t="inlineStr">
        <is>
          <t>CÔNG TY TNHH TOÀN CẦU HONG MING</t>
        </is>
      </c>
      <c r="K3" s="83" t="n"/>
    </row>
    <row r="4" ht="17.4" customHeight="1" s="82">
      <c r="B4" s="12" t="n"/>
      <c r="C4" s="10" t="n"/>
      <c r="D4" s="10" t="n"/>
      <c r="E4" s="10" t="n"/>
      <c r="F4" s="10" t="n"/>
      <c r="G4" s="10" t="n"/>
      <c r="H4" s="10" t="n"/>
      <c r="I4" s="10" t="n"/>
      <c r="K4" s="83" t="n"/>
    </row>
    <row r="5" ht="33" customHeight="1" s="82">
      <c r="B5" s="79" t="inlineStr">
        <is>
          <t>請 款 單</t>
        </is>
      </c>
      <c r="K5" s="83" t="n"/>
    </row>
    <row r="6" ht="22.8" customHeight="1" s="82">
      <c r="B6" s="81" t="inlineStr">
        <is>
          <t>Phiếu yêu cầu thanh toán</t>
        </is>
      </c>
      <c r="K6" s="83" t="n"/>
    </row>
    <row r="7" ht="22.8" customHeight="1" s="82">
      <c r="B7" s="13" t="n"/>
      <c r="C7" s="9" t="n"/>
      <c r="D7" s="9" t="n"/>
      <c r="E7" s="9" t="n"/>
      <c r="F7" s="9" t="n"/>
      <c r="G7" s="29" t="n"/>
      <c r="H7" s="70" t="n"/>
      <c r="K7" s="83" t="n"/>
    </row>
    <row r="8" ht="19.2" customHeight="1" s="82">
      <c r="B8" s="76" t="inlineStr">
        <is>
          <t>CÔNG TY TNHH TOÀN CẦU HONG MING 致敬：</t>
        </is>
      </c>
      <c r="K8" s="83" t="n"/>
    </row>
    <row r="9" ht="24.6" customHeight="1" s="82">
      <c r="B9" s="14" t="n"/>
      <c r="C9" s="9" t="n"/>
      <c r="D9" s="11" t="n"/>
      <c r="E9" s="9" t="n"/>
      <c r="F9" s="11" t="n"/>
      <c r="G9" s="29" t="inlineStr">
        <is>
          <t>Form NO.</t>
        </is>
      </c>
      <c r="H9" s="70" t="inlineStr">
        <is>
          <t>HMV15102026-001-SYTT</t>
        </is>
      </c>
      <c r="K9" s="83" t="n"/>
    </row>
    <row r="10" ht="33" customHeight="1" s="82">
      <c r="B10" s="28" t="inlineStr">
        <is>
          <t>客 戶 名 稱：
Tên khách hàng：</t>
        </is>
      </c>
      <c r="C10" s="71" t="inlineStr">
        <is>
          <t>CÔNG TY CỔ PHẦN CX TECHNOLOGY (VN)</t>
        </is>
      </c>
      <c r="H10" s="28" t="inlineStr">
        <is>
          <t>申 請 日 期：
Ngày nộp đơn：</t>
        </is>
      </c>
      <c r="I10" s="46" t="n">
        <v>46310</v>
      </c>
      <c r="K10" s="83" t="n"/>
    </row>
    <row r="11" ht="98.40000000000001" customHeight="1" s="82">
      <c r="B11" s="75" t="inlineStr">
        <is>
          <t>專 案 名 稱：
Tên dự án：</t>
        </is>
      </c>
      <c r="C11" s="72" t="inlineStr">
        <is>
          <t>Căn cứ hợp đồng số : HD-20261013-001
Dự án RFID Hardware &amp; Custom Software ERP - Đợt 1
根据合同编号：HD-20261013-001
RFID硬體（RFID Hardware）－RFID系統客製化軟體功能上線移交使用</t>
        </is>
      </c>
      <c r="K11" s="83" t="n"/>
    </row>
    <row r="12" ht="41.4" customHeight="1" s="82">
      <c r="B12" s="75" t="inlineStr">
        <is>
          <t>應 付 款 日 期：
Ngày đến hạn thanh toán:</t>
        </is>
      </c>
      <c r="C12" s="73" t="inlineStr">
        <is>
          <t>25/10/2026</t>
        </is>
      </c>
      <c r="F12" s="75" t="inlineStr">
        <is>
          <t>付 款 方 式：
Phương thức thanh toán：</t>
        </is>
      </c>
      <c r="H12" s="76" t="inlineStr">
        <is>
          <t>匯款
Chuyển khoản</t>
        </is>
      </c>
      <c r="K12" s="83" t="n"/>
    </row>
    <row r="13" ht="16.2" customHeight="1" s="82" thickBot="1">
      <c r="N13" s="84" t="n"/>
    </row>
    <row r="14" ht="34.8" customHeight="1" s="82">
      <c r="A14" s="19" t="inlineStr">
        <is>
          <t>項
STT</t>
        </is>
      </c>
      <c r="B14" s="30" t="inlineStr">
        <is>
          <t>請款項目
Hạng mục thanh toán</t>
        </is>
      </c>
      <c r="C14" s="22" t="inlineStr">
        <is>
          <t>幣別
Tiền tệ</t>
        </is>
      </c>
      <c r="D14" s="22" t="inlineStr">
        <is>
          <t>單價 
Đơn giá</t>
        </is>
      </c>
      <c r="E14" s="22" t="inlineStr">
        <is>
          <t>數量 
Số lượng</t>
        </is>
      </c>
      <c r="F14" s="48" t="inlineStr">
        <is>
          <t>合同金額
Số tiền hợp đồng</t>
        </is>
      </c>
      <c r="G14" s="22" t="inlineStr">
        <is>
          <t>稅率
Thuế suất</t>
        </is>
      </c>
      <c r="H14" s="20" t="inlineStr">
        <is>
          <t>稅額 VAT</t>
        </is>
      </c>
      <c r="I14" s="49" t="inlineStr">
        <is>
          <t>請款金額
Số tiền xin TT</t>
        </is>
      </c>
    </row>
    <row r="15" ht="72.59999999999999" customHeight="1" s="82" thickBot="1">
      <c r="A15" s="21" t="n">
        <v>1</v>
      </c>
      <c r="B15" s="39" t="inlineStr">
        <is>
          <t>請款 / Thanh toán Đợt 1: 40%
合約 / Hợp đồng：HD-20261013-001</t>
        </is>
      </c>
      <c r="C15" s="85" t="inlineStr">
        <is>
          <t>VND</t>
        </is>
      </c>
      <c r="D15" s="86" t="n">
        <v>234000000</v>
      </c>
      <c r="E15" s="87" t="n">
        <v>1</v>
      </c>
      <c r="F15" s="86">
        <f>D15*E15</f>
        <v/>
      </c>
      <c r="G15" s="32" t="n">
        <v>0</v>
      </c>
      <c r="H15" s="88">
        <f>F15*G15</f>
        <v/>
      </c>
      <c r="I15" s="89">
        <f>(F15+H15)*40%</f>
        <v/>
      </c>
      <c r="N15" s="90" t="n"/>
    </row>
    <row r="16" hidden="1" ht="75" customHeight="1" s="82">
      <c r="A16" s="21" t="n">
        <v>2</v>
      </c>
      <c r="B16" s="15" t="n"/>
      <c r="C16" s="85" t="n"/>
      <c r="D16" s="86" t="n"/>
      <c r="E16" s="91" t="n"/>
      <c r="F16" s="86">
        <f>D16*E16</f>
        <v/>
      </c>
      <c r="G16" s="32" t="n"/>
      <c r="H16" s="88">
        <f>F16*G16</f>
        <v/>
      </c>
      <c r="I16" s="89">
        <f>F16+H16</f>
        <v/>
      </c>
      <c r="N16" s="41" t="n"/>
    </row>
    <row r="17" hidden="1" ht="49.95" customHeight="1" s="82">
      <c r="A17" s="21" t="n">
        <v>3</v>
      </c>
      <c r="B17" s="15" t="n"/>
      <c r="C17" s="85" t="n"/>
      <c r="D17" s="86" t="n"/>
      <c r="E17" s="91" t="n"/>
      <c r="F17" s="86">
        <f>D17*E17</f>
        <v/>
      </c>
      <c r="G17" s="32" t="n"/>
      <c r="H17" s="88">
        <f>F17*G17</f>
        <v/>
      </c>
      <c r="I17" s="89">
        <f>F17+H17</f>
        <v/>
      </c>
    </row>
    <row r="18" hidden="1" ht="49.95" customHeight="1" s="82">
      <c r="A18" s="21" t="n">
        <v>4</v>
      </c>
      <c r="B18" s="15" t="n"/>
      <c r="C18" s="85" t="n"/>
      <c r="D18" s="86" t="n"/>
      <c r="E18" s="91" t="n"/>
      <c r="F18" s="86">
        <f>D18*E18</f>
        <v/>
      </c>
      <c r="G18" s="32" t="n"/>
      <c r="H18" s="88">
        <f>F18*G18</f>
        <v/>
      </c>
      <c r="I18" s="89">
        <f>F18+H18</f>
        <v/>
      </c>
    </row>
    <row r="19" hidden="1" ht="49.95" customHeight="1" s="82">
      <c r="A19" s="21" t="n">
        <v>5</v>
      </c>
      <c r="B19" s="15" t="n"/>
      <c r="C19" s="85" t="n"/>
      <c r="D19" s="86" t="n"/>
      <c r="E19" s="91" t="n"/>
      <c r="F19" s="86">
        <f>D19*E19</f>
        <v/>
      </c>
      <c r="G19" s="32" t="n"/>
      <c r="H19" s="88">
        <f>F19*G19</f>
        <v/>
      </c>
      <c r="I19" s="89">
        <f>F19+H19</f>
        <v/>
      </c>
    </row>
    <row r="20" hidden="1" ht="49.95" customHeight="1" s="82" thickBot="1">
      <c r="A20" s="21" t="n">
        <v>6</v>
      </c>
      <c r="B20" s="15" t="n"/>
      <c r="C20" s="85" t="n"/>
      <c r="D20" s="86" t="n"/>
      <c r="E20" s="91" t="n"/>
      <c r="F20" s="86">
        <f>D20*E20</f>
        <v/>
      </c>
      <c r="G20" s="32" t="n"/>
      <c r="H20" s="88">
        <f>F20*G20</f>
        <v/>
      </c>
      <c r="I20" s="89">
        <f>F20+H20</f>
        <v/>
      </c>
    </row>
    <row r="21" ht="24" customFormat="1" customHeight="1" s="2" thickBot="1">
      <c r="A21" s="53" t="inlineStr">
        <is>
          <t>合計 Tổng cộng</t>
        </is>
      </c>
      <c r="B21" s="92" t="n"/>
      <c r="C21" s="92" t="n"/>
      <c r="D21" s="92" t="n"/>
      <c r="E21" s="93" t="n"/>
      <c r="F21" s="94">
        <f>SUM(I15:I20)</f>
        <v/>
      </c>
      <c r="G21" s="92" t="n"/>
      <c r="H21" s="92" t="n"/>
      <c r="I21" s="95" t="n"/>
    </row>
    <row r="22" ht="16.2" customFormat="1" customHeight="1" s="2" thickBot="1">
      <c r="B22" s="17" t="n"/>
      <c r="C22" s="7" t="n"/>
      <c r="D22" s="6" t="n"/>
      <c r="E22" s="7" t="n"/>
      <c r="F22" s="6" t="n"/>
      <c r="G22" s="6" t="n"/>
      <c r="H22" s="96" t="n"/>
      <c r="I22" s="96" t="n"/>
    </row>
    <row r="23" ht="236.4" customFormat="1" customHeight="1" s="2" thickBot="1">
      <c r="A23" s="38" t="n"/>
      <c r="B23" s="97" t="inlineStr">
        <is>
          <t>備註：
Đợt 1: Thanh toán 40% giá trị hợp đồng (93.600.000 VND - Chín mươi ba triệu sáu trăm nghìn đồng chẵn.) Hạn thanh toán: 25/10/2026. Chưa thanh toán.
01  第1期付款條件達成時：支付合約金額的 40% (93.600.000 VND，越南盾玖仟參佰陸拾萬整)。 付款到期日：25/10/2026。待支付。
**以上價格不包含VAT增值稅，稅率依發票開立時的稅率為準。Giá nêu trên chưa bao gồm thuế GTGT (VAT). Thuế suất áp dụng theo mức thuế suất tại thời điểm xuất hóa đơn.</t>
        </is>
      </c>
      <c r="C23" s="92" t="n"/>
      <c r="D23" s="92" t="n"/>
      <c r="E23" s="92" t="n"/>
      <c r="F23" s="92" t="n"/>
      <c r="G23" s="92" t="n"/>
      <c r="H23" s="92" t="n"/>
      <c r="I23" s="95" t="n"/>
    </row>
    <row r="24" ht="18" customFormat="1" customHeight="1" s="2">
      <c r="A24" s="33" t="n"/>
      <c r="B24" s="98" t="inlineStr">
        <is>
          <t xml:space="preserve"> </t>
        </is>
      </c>
      <c r="C24" s="99" t="n"/>
      <c r="D24" s="99" t="n"/>
      <c r="E24" s="99" t="n"/>
      <c r="F24" s="99" t="n"/>
      <c r="G24" s="99" t="n"/>
      <c r="H24" s="99" t="n"/>
      <c r="I24" s="100" t="n"/>
    </row>
    <row r="25" ht="18" customFormat="1" customHeight="1" s="2">
      <c r="B25" s="36" t="inlineStr">
        <is>
          <t>銀行帳戶名稱</t>
        </is>
      </c>
      <c r="C25" s="101" t="inlineStr">
        <is>
          <t>CÔNG TY TNHH TOÀN CẦU HONG MING</t>
        </is>
      </c>
      <c r="D25" s="102" t="n"/>
      <c r="E25" s="102" t="n"/>
      <c r="F25" s="103" t="n"/>
      <c r="G25" s="34" t="inlineStr">
        <is>
          <t>銀行帳號</t>
        </is>
      </c>
      <c r="H25" s="104" t="inlineStr">
        <is>
          <t>604080006546(VND)</t>
        </is>
      </c>
      <c r="I25" s="105" t="n"/>
    </row>
    <row r="26" ht="18.6" customFormat="1" customHeight="1" s="2" thickBot="1">
      <c r="B26" s="37" t="inlineStr">
        <is>
          <t>銀行名稱</t>
        </is>
      </c>
      <c r="C26" s="106" t="inlineStr">
        <is>
          <t>CATHAY UNITED BANK – HO CHI MINH CITY BRANCH</t>
        </is>
      </c>
      <c r="D26" s="107" t="n"/>
      <c r="E26" s="107" t="n"/>
      <c r="F26" s="107" t="n"/>
      <c r="G26" s="107" t="n"/>
      <c r="H26" s="107" t="n"/>
      <c r="I26" s="108" t="n"/>
    </row>
    <row r="27" customFormat="1" s="2">
      <c r="B27" s="16" t="n"/>
      <c r="C27" s="4" t="n"/>
      <c r="E27" s="4" t="n"/>
    </row>
    <row r="28" ht="18" customFormat="1" customHeight="1" s="2">
      <c r="B28" s="42" t="inlineStr">
        <is>
          <t>買方主管</t>
        </is>
      </c>
      <c r="C28" s="43" t="n"/>
      <c r="D28" s="44" t="n"/>
      <c r="E28" s="43" t="n"/>
      <c r="F28" s="45" t="inlineStr">
        <is>
          <t>申請單位</t>
        </is>
      </c>
    </row>
    <row r="29" customFormat="1" s="2">
      <c r="B29" s="16" t="n"/>
      <c r="C29" s="4" t="n"/>
      <c r="E29" s="4" t="n"/>
    </row>
    <row r="30" customFormat="1" s="2">
      <c r="B30" s="16" t="n"/>
      <c r="C30" s="4" t="n"/>
      <c r="E30" s="4" t="n"/>
    </row>
    <row r="31" customFormat="1" s="2">
      <c r="B31" s="16" t="n"/>
      <c r="C31" s="4" t="n"/>
      <c r="E31" s="4" t="n"/>
    </row>
  </sheetData>
  <mergeCells count="19">
    <mergeCell ref="B3:I3"/>
    <mergeCell ref="C12:E12"/>
    <mergeCell ref="H9:I9"/>
    <mergeCell ref="H25:I25"/>
    <mergeCell ref="F12:G12"/>
    <mergeCell ref="C10:G10"/>
    <mergeCell ref="B2:I2"/>
    <mergeCell ref="B23:I23"/>
    <mergeCell ref="B8:I8"/>
    <mergeCell ref="A21:E21"/>
    <mergeCell ref="C26:I26"/>
    <mergeCell ref="H7:I7"/>
    <mergeCell ref="F21:I21"/>
    <mergeCell ref="C25:F25"/>
    <mergeCell ref="H12:I12"/>
    <mergeCell ref="B6:I6"/>
    <mergeCell ref="B24:I24"/>
    <mergeCell ref="B5:I5"/>
    <mergeCell ref="C11:I11"/>
  </mergeCells>
  <printOptions horizontalCentered="1"/>
  <pageMargins left="0.3937007874015748" right="0.3937007874015748" top="0.3937007874015748" bottom="0.3937007874015748" header="0.3149606299212598" footer="0.3149606299212598"/>
  <pageSetup orientation="portrait" paperSize="9" scale="5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Jenson</dc:creator>
  <dcterms:created xmlns:dcterms="http://purl.org/dc/terms/" xmlns:xsi="http://www.w3.org/2001/XMLSchema-instance" xsi:type="dcterms:W3CDTF">2022-03-01T06:40:34Z</dcterms:created>
  <dcterms:modified xmlns:dcterms="http://purl.org/dc/terms/" xmlns:xsi="http://www.w3.org/2001/XMLSchema-instance" xsi:type="dcterms:W3CDTF">2026-10-15T15:38:35Z</dcterms:modified>
  <cp:lastModifiedBy>洋銘資訊</cp:lastModifiedBy>
  <cp:lastPrinted>2026-10-15T02:31:21Z</cp:lastPrinted>
</cp:coreProperties>
</file>