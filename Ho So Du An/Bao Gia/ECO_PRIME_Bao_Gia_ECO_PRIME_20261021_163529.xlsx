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NG\Downloads\"/>
    </mc:Choice>
  </mc:AlternateContent>
  <xr:revisionPtr revIDLastSave="0" documentId="13_ncr:1_{3210A0BB-0780-49E9-9CE8-D70C18F726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uHui" sheetId="1" r:id="rId1"/>
  </sheets>
  <definedNames>
    <definedName name="_xlnm.Print_Area" localSheetId="0">PouHui!$A$1:$H$25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L17" i="1"/>
  <c r="N17" i="1" s="1"/>
  <c r="O17" i="1" s="1"/>
  <c r="G17" i="1"/>
  <c r="H17" i="1" s="1"/>
  <c r="M16" i="1"/>
  <c r="L16" i="1"/>
  <c r="N16" i="1" s="1"/>
  <c r="O16" i="1" s="1"/>
  <c r="G16" i="1"/>
  <c r="H16" i="1" s="1"/>
  <c r="M15" i="1"/>
  <c r="L15" i="1"/>
  <c r="N15" i="1" s="1"/>
  <c r="O15" i="1" s="1"/>
  <c r="G15" i="1"/>
  <c r="H15" i="1" s="1"/>
  <c r="M14" i="1"/>
  <c r="L14" i="1"/>
  <c r="G14" i="1"/>
  <c r="H14" i="1" s="1"/>
  <c r="M13" i="1"/>
  <c r="L13" i="1"/>
  <c r="N13" i="1" s="1"/>
  <c r="O13" i="1" s="1"/>
  <c r="G13" i="1"/>
  <c r="H13" i="1" l="1"/>
  <c r="G19" i="1"/>
  <c r="N14" i="1"/>
  <c r="O14" i="1" s="1"/>
  <c r="O18" i="1" s="1"/>
  <c r="O19" i="1" l="1"/>
  <c r="O20" i="1" s="1"/>
  <c r="O21" i="1" s="1"/>
  <c r="G21" i="1"/>
  <c r="H19" i="1"/>
  <c r="G20" i="1"/>
  <c r="H20" i="1" l="1"/>
  <c r="H21" i="1"/>
</calcChain>
</file>

<file path=xl/sharedStrings.xml><?xml version="1.0" encoding="utf-8"?>
<sst xmlns="http://schemas.openxmlformats.org/spreadsheetml/2006/main" count="66" uniqueCount="57">
  <si>
    <t>Thông tin người bán 賣方資訊</t>
  </si>
  <si>
    <t>Thông tin người mua 買方資訊</t>
  </si>
  <si>
    <t>Tên công ty 公司名稱：</t>
  </si>
  <si>
    <t>CÔNG TY TNHH ECO PRIME VN</t>
  </si>
  <si>
    <t>CÔNG TY TNHH VIỆT NAM PHỔ HUỆ Y TẾ CÔNG NGHỆ (POU HUI)</t>
  </si>
  <si>
    <t>Người liên lạc 聯絡人：</t>
  </si>
  <si>
    <t>張永吉 Jenson</t>
  </si>
  <si>
    <t>Điện thoại 聯絡電話：</t>
  </si>
  <si>
    <t>0966687109</t>
  </si>
  <si>
    <t>Fax 傳真電話：</t>
  </si>
  <si>
    <t>Địa chỉ 聯絡地址：</t>
  </si>
  <si>
    <t>Lầu 2, số 68 Nguyễn Huệ, Phường Sài Gòn, TP Hồ Chí Minh, Việt Nam</t>
  </si>
  <si>
    <t>E-mail電子郵件：</t>
  </si>
  <si>
    <t>sales@hongming-global.com</t>
  </si>
  <si>
    <t>Báo giá hệ thống đo đếm điện năng 4 trạm biến áp 高壓變電站電能計量系統硬體報價訂購確認單</t>
  </si>
  <si>
    <t>報價日期 Ngày báo giá: 21/10/2026</t>
  </si>
  <si>
    <t>STT</t>
  </si>
  <si>
    <t>Tên Sản Phẩm
產品名稱</t>
  </si>
  <si>
    <t>Hạng Mục 
項目類別</t>
  </si>
  <si>
    <t xml:space="preserve">Nội Dung Sản Phẩm 產品內容 </t>
  </si>
  <si>
    <t>Số lượng
數量</t>
  </si>
  <si>
    <t>Đơn Giá 單價 USD</t>
  </si>
  <si>
    <t>Tổng Giá 總價 USD</t>
  </si>
  <si>
    <t>Tổng Giá 總價 VND</t>
  </si>
  <si>
    <t>1) Giải pháp nâng cấp hệ thống đo đếm điện năng và giám sát 4 trạm biến áp cao thế 普惠醫工4座高壓變電站電能計量與能耗監控系統方案</t>
  </si>
  <si>
    <t>美金出口價</t>
  </si>
  <si>
    <t>進口稅率</t>
  </si>
  <si>
    <t>進口關稅</t>
  </si>
  <si>
    <t>運費7%</t>
  </si>
  <si>
    <t>進貨成本單價</t>
  </si>
  <si>
    <t>總計成本</t>
  </si>
  <si>
    <t>Đồng hồ đa năng PM210-4-V
PM210-4-V 三相單迴路多功能需量總表</t>
  </si>
  <si>
    <t>Đồng hồ đa năng
多功能電表</t>
  </si>
  <si>
    <t>Đồng hồ đo đếm điện năng 3 pha đa chức năng PM210-4-V, đo công suất, điện áp, dòng điện, điện năng tiêu thụ (KWh/KVAh/KVARh), hỗ trợ kết nối trực tiếp biến dòng mềm Rogowski, giao tiếp Modbus RTU/RS485. 1 bộ / trạm biến áp (Trạm 1~Trạm 4).
PM210-4-V三相單迴路多功能需量總表, 具備電力參數測量、電能計量功能, 直連羅氏線圈比流器, Modbus RTU/RS485通訊。每座變電站配置1台 (1號~4號高壓變電站)。</t>
  </si>
  <si>
    <t>Biến dòng mềm Rogowski CT-1000RV (1000A)
三相羅氏比流器 CT-1000RV (1000A)</t>
  </si>
  <si>
    <t>Biến dòng Rogowski
羅氏比流器</t>
  </si>
  <si>
    <t>Biến dòng kiểu vòng mềm Rogowski coil CT-1000RV, dòng định mức 1000A, độ chính xác cao, lắp đặt kẹp mềm không cần cắt điện dừng máy nhà máy. Dùng cho Trạm 1, Trạm 2, Trạm 3 (máy biến áp 630KVA, cáp XLPE 325mm² x 2 sợi/pha).
CT-1000RV三相羅氏比流器 (1000A), 柔性開口式線圈, 免停電快速施工安裝。適用於1號、2號、3號高壓變電站 (630KVA變壓器, XLPE 325mm²x2線徑)。</t>
  </si>
  <si>
    <t>Biến dòng mềm Rogowski CT-2000RV (2000A)
三相羅氏比流器 CT-2000RV (2000A)</t>
  </si>
  <si>
    <t>Biến dòng kiểu vòng mềm Rogowski coil CT-2000RV, dòng định mức 2000A (dải đo dòng sơ cấp 1200A), đường kính vòng lớn luồn qua bó 3 sợi cáp/pha, không cần cắt điện. Dùng cho Trạm 4 (máy biến áp 750KVA, cáp XLPE 250mm² x 3 sợi/pha).
CT-2000RV三相羅氏比流器 (2000A), 大口徑柔性開口式線圈, 適用於單相3條電纜束線, 免停電快速安裝。適用於4號高壓變電站 (750KVA變壓器, XLPE 250mm²x3線徑)。</t>
  </si>
  <si>
    <t>Vật tư phụ
輔助材料</t>
  </si>
  <si>
    <t>Chi phí thi công
施工費</t>
  </si>
  <si>
    <t>Bao gồm nội dung 內容包含:
- Cài đặt hệ thống 系統設定
- Lắp đặt phần cứng 4 trạm biến áp 4座高壓變電站硬體安裝
- Hiệu chỉnh chức năng &amp; liên động Modbus CC2051 功能調適與通訊聯調
- Phí quản lý, vận chuyển 管理、運費
- Thiết kế bản vẽ hoàn công 設計、竣工圖費用
- Chi phí đi lại, giàn giáo, dụng cụ an toàn 交通費、鷹架、工安器具...</t>
  </si>
  <si>
    <t>以下空白</t>
  </si>
  <si>
    <t>合計成本</t>
  </si>
  <si>
    <t>Tạm tính 小計</t>
  </si>
  <si>
    <t>Thuế VAT 8% 增值稅</t>
  </si>
  <si>
    <t>利潤</t>
  </si>
  <si>
    <t>Tổng cộng 總金額</t>
  </si>
  <si>
    <t>% 利潤</t>
  </si>
  <si>
    <t>※客戶確認 Xác nhận khách hàng</t>
  </si>
  <si>
    <t>◆ 備註聲明</t>
  </si>
  <si>
    <t>（請簽名用印） Chữ ký và con dấu</t>
  </si>
  <si>
    <t>1. 以上報價交期：報價單簽回後，另日程安排後回覆；
   Thời gian giao hàng của báo giá trên: sau khi báo giá được ký và gửi lại, lịch trình cụ thể sẽ được thông báo sau;</t>
  </si>
  <si>
    <r>
      <rPr>
        <b/>
        <sz val="11"/>
        <color theme="1"/>
        <rFont val="Microsoft YaHei"/>
      </rPr>
      <t>2. 報價有效期限：2026/11/21 止，報價簽回視同專案確認，不可任意終止、取消本專案；</t>
    </r>
    <r>
      <rPr>
        <b/>
        <sz val="11"/>
        <color rgb="FF0000FF"/>
        <rFont val="Microsoft YaHei"/>
      </rPr>
      <t>交貨後保固一年</t>
    </r>
    <r>
      <rPr>
        <b/>
        <sz val="11"/>
        <color theme="1"/>
        <rFont val="Microsoft YaHei"/>
      </rPr>
      <t xml:space="preserve">
    Thời hạn hiệu lực của báo giá: đến hết ngày 21/11/2026. Việc ký và gửi lại báo giá được xem là xác nhận dự án, 
    không được phép đơn phương chấm dứt hoặc hủy bỏ dự án này; </t>
    </r>
    <r>
      <rPr>
        <b/>
        <sz val="11"/>
        <color rgb="FF0000FF"/>
        <rFont val="Microsoft YaHei"/>
      </rPr>
      <t>Bảo hành 1 năm kể từ ngày giao hàng.</t>
    </r>
  </si>
  <si>
    <t>3. 付款方式 : 訂金 35%、 交貨 55%、驗收 10% TT30Day。
     Điều khoản thanh toán:  [Đặt cọc: 35%, Khi giao hàng: 55%, Sau khi nghiệm thu: Thanh toán 10% còn lại theo điều khoản TT 30 ngày (TT30 Days).]</t>
  </si>
  <si>
    <t>Cáp RS485 &amp; Vật tư phụ
RS485通訊線及安裝輔材</t>
  </si>
  <si>
    <t>Bao gồm nội dung 內容包含:
- Cáp truyền thông chống nhiễu chuyên dụng RS485 (UL2464 24AWG 2P 隔離通訊線)
- Ống luồn bảo vệ chống cháy, dây tiếp địa, cầu chì bảo vệ 阻燃保護套管、接地線、保險絲
- Đầu cosse bọc cách điện, nhãn đánh dấu dây cáp và toàn bộ phụ kiện đấu nối 冷壓端子、電纜號碼管及全套配線輔材。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</si>
</sst>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4" formatCode="_(&quot;$&quot;* #,##0.00_);_(&quot;$&quot;* \(#,##0.00\);_(&quot;$&quot;* &quot;-&quot;??_);_(@_)"/>
    <numFmt numFmtId="164" formatCode="_-&quot;$&quot;* #,##0_-;\-&quot;$&quot;* #,##0_-;_-&quot;$&quot;* &quot;-&quot;??_-;_-@_-"/>
    <numFmt numFmtId="165" formatCode="_-&quot;$&quot;* #,##0.00_-;\-&quot;$&quot;* #,##0.00_-;_-&quot;$&quot;* &quot;-&quot;??_-;_-@_-"/>
    <numFmt numFmtId="166" formatCode="_(&quot;$&quot;* #,##0_);_(&quot;$&quot;* \(#,##0\);_(&quot;$&quot;* &quot;-&quot;??_);_(@_)"/>
    <numFmt numFmtId="167" formatCode="[$VND]\ #,##0_);\([$VND]\ #,##0\)"/>
    <numFmt numFmtId="168" formatCode="&quot;US$&quot;#,##0.0_);\(&quot;US$&quot;#,##0.0\)"/>
    <numFmt numFmtId="169" formatCode="_(\$* #,##0_);_(\$* \(#,##0\);_(\$* \-??_);_(@_)"/>
    <numFmt numFmtId="170" formatCode="0&quot; BỘ &quot;"/>
    <numFmt numFmtId="171" formatCode="&quot;US$&quot;#,##0.00_);\(&quot;US$&quot;#,##0.00\)"/>
    <numFmt numFmtId="172" formatCode="&quot;Exchange Rate USD&quot;\ #,#00"/>
    <numFmt numFmtId="173" formatCode="0&quot; SET &quot;"/>
    <numFmt numFmtId="174" formatCode="0.0%"/>
  </numFmts>
  <fonts count="37">
    <font>
      <sz val="12"/>
      <name val="新細明體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color theme="1"/>
      <name val="Calibri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1"/>
      <color rgb="FF9C6500"/>
      <name val="Calibri"/>
      <family val="1"/>
      <charset val="136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細明體"/>
      <family val="3"/>
      <charset val="136"/>
    </font>
    <font>
      <b/>
      <sz val="16"/>
      <color theme="0"/>
      <name val="微軟正黑體"/>
      <family val="2"/>
      <charset val="136"/>
    </font>
    <font>
      <u/>
      <sz val="12"/>
      <color indexed="12"/>
      <name val="微軟正黑體"/>
      <family val="2"/>
      <charset val="136"/>
    </font>
    <font>
      <b/>
      <sz val="12"/>
      <name val="微軟正黑體"/>
      <family val="2"/>
      <charset val="238"/>
    </font>
    <font>
      <b/>
      <sz val="12"/>
      <color theme="1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63"/>
    </font>
    <font>
      <b/>
      <sz val="14"/>
      <color theme="0"/>
      <name val="微軟正黑體"/>
      <family val="2"/>
      <charset val="136"/>
    </font>
    <font>
      <sz val="12"/>
      <name val="VNI-Times"/>
      <family val="2"/>
    </font>
    <font>
      <b/>
      <sz val="14"/>
      <color theme="1"/>
      <name val="微軟正黑體"/>
      <family val="2"/>
      <charset val="136"/>
    </font>
    <font>
      <u/>
      <sz val="12"/>
      <color rgb="FF0000FF"/>
      <name val="Calibri"/>
      <family val="2"/>
      <charset val="163"/>
    </font>
    <font>
      <sz val="12"/>
      <name val="新細明體"/>
      <family val="1"/>
      <charset val="136"/>
    </font>
    <font>
      <b/>
      <sz val="12"/>
      <color theme="1"/>
      <name val="Noto Sans CJK SC"/>
      <family val="2"/>
      <charset val="1"/>
    </font>
    <font>
      <sz val="12"/>
      <name val="細明體"/>
      <family val="2"/>
      <charset val="136"/>
    </font>
    <font>
      <b/>
      <sz val="11"/>
      <color theme="1"/>
      <name val="Microsoft YaHei"/>
      <family val="2"/>
      <charset val="134"/>
    </font>
    <font>
      <sz val="12"/>
      <color rgb="FF000000"/>
      <name val="微軟正黑體"/>
    </font>
    <font>
      <sz val="10"/>
      <color rgb="FF000000"/>
      <name val="微軟正黑體"/>
    </font>
    <font>
      <b/>
      <sz val="12"/>
      <color rgb="FF000000"/>
      <name val="Microsoft YaHei"/>
    </font>
    <font>
      <b/>
      <sz val="13"/>
      <color rgb="FF0000FF"/>
      <name val="Arial"/>
    </font>
    <font>
      <b/>
      <sz val="12"/>
      <color rgb="FF9C6500"/>
      <name val="Arial"/>
    </font>
    <font>
      <b/>
      <sz val="11"/>
      <color rgb="FF000000"/>
      <name val="Microsoft YaHei"/>
    </font>
    <font>
      <b/>
      <sz val="11"/>
      <color rgb="FF9C6500"/>
      <name val="Arial"/>
    </font>
    <font>
      <b/>
      <sz val="10.5"/>
      <color rgb="FF000000"/>
      <name val="Microsoft YaHei"/>
    </font>
    <font>
      <b/>
      <sz val="10.5"/>
      <color rgb="FFFF0000"/>
      <name val="Microsoft YaHei"/>
    </font>
    <font>
      <b/>
      <sz val="11"/>
      <color theme="1"/>
      <name val="Microsoft YaHei"/>
    </font>
    <font>
      <b/>
      <sz val="11"/>
      <color rgb="FF0000FF"/>
      <name val="Microsoft YaHei"/>
    </font>
  </fonts>
  <fills count="11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2F2F2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9">
    <xf numFmtId="0" fontId="0" fillId="0" borderId="0"/>
    <xf numFmtId="0" fontId="4" fillId="0" borderId="0">
      <alignment vertical="top"/>
      <protection locked="0"/>
    </xf>
    <xf numFmtId="44" fontId="3" fillId="0" borderId="0">
      <alignment vertical="center"/>
    </xf>
    <xf numFmtId="0" fontId="22" fillId="0" borderId="0"/>
    <xf numFmtId="0" fontId="5" fillId="2" borderId="0">
      <alignment vertical="center"/>
    </xf>
    <xf numFmtId="41" fontId="11" fillId="0" borderId="0"/>
    <xf numFmtId="0" fontId="19" fillId="0" borderId="0"/>
    <xf numFmtId="0" fontId="7" fillId="0" borderId="0"/>
    <xf numFmtId="9" fontId="22" fillId="0" borderId="0">
      <alignment vertical="center"/>
    </xf>
  </cellStyleXfs>
  <cellXfs count="89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3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6" fillId="0" borderId="0" xfId="3" applyNumberFormat="1" applyFont="1" applyAlignment="1">
      <alignment vertical="center"/>
    </xf>
    <xf numFmtId="166" fontId="6" fillId="0" borderId="0" xfId="2" applyNumberFormat="1" applyFont="1">
      <alignment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1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10" fillId="8" borderId="9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10" fillId="8" borderId="10" xfId="0" applyFont="1" applyFill="1" applyBorder="1" applyAlignment="1">
      <alignment horizontal="center" vertical="center" wrapText="1"/>
    </xf>
    <xf numFmtId="0" fontId="14" fillId="8" borderId="10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15" fillId="8" borderId="11" xfId="0" applyFont="1" applyFill="1" applyBorder="1" applyAlignment="1">
      <alignment horizontal="center" vertical="center" wrapText="1"/>
    </xf>
    <xf numFmtId="0" fontId="20" fillId="9" borderId="6" xfId="3" applyFont="1" applyFill="1" applyBorder="1" applyAlignment="1">
      <alignment vertical="center"/>
    </xf>
    <xf numFmtId="0" fontId="20" fillId="9" borderId="7" xfId="3" applyFont="1" applyFill="1" applyBorder="1" applyAlignment="1">
      <alignment vertical="center"/>
    </xf>
    <xf numFmtId="167" fontId="20" fillId="9" borderId="7" xfId="3" applyNumberFormat="1" applyFont="1" applyFill="1" applyBorder="1" applyAlignment="1">
      <alignment vertical="center"/>
    </xf>
    <xf numFmtId="0" fontId="21" fillId="0" borderId="0" xfId="1" applyFont="1" applyAlignment="1" applyProtection="1">
      <alignment vertical="center"/>
    </xf>
    <xf numFmtId="168" fontId="6" fillId="0" borderId="0" xfId="3" applyNumberFormat="1" applyFont="1" applyAlignment="1">
      <alignment vertical="center"/>
    </xf>
    <xf numFmtId="0" fontId="23" fillId="0" borderId="5" xfId="0" applyFont="1" applyBorder="1" applyAlignment="1">
      <alignment horizontal="left" vertical="center"/>
    </xf>
    <xf numFmtId="9" fontId="6" fillId="0" borderId="0" xfId="8" applyFont="1">
      <alignment vertical="center"/>
    </xf>
    <xf numFmtId="165" fontId="24" fillId="0" borderId="0" xfId="3" applyNumberFormat="1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24" fillId="0" borderId="0" xfId="3" applyFont="1" applyAlignment="1">
      <alignment horizontal="center" vertical="center"/>
    </xf>
    <xf numFmtId="165" fontId="6" fillId="0" borderId="0" xfId="3" applyNumberFormat="1" applyFont="1" applyAlignment="1">
      <alignment horizontal="right" vertical="center"/>
    </xf>
    <xf numFmtId="9" fontId="6" fillId="0" borderId="0" xfId="8" applyFont="1" applyAlignment="1">
      <alignment horizontal="right" vertical="center"/>
    </xf>
    <xf numFmtId="44" fontId="6" fillId="0" borderId="0" xfId="3" applyNumberFormat="1" applyFont="1" applyAlignment="1">
      <alignment horizontal="right" vertical="center"/>
    </xf>
    <xf numFmtId="0" fontId="24" fillId="0" borderId="0" xfId="0" applyFont="1" applyAlignment="1">
      <alignment vertical="center"/>
    </xf>
    <xf numFmtId="171" fontId="6" fillId="0" borderId="0" xfId="0" applyNumberFormat="1" applyFont="1" applyAlignment="1">
      <alignment vertical="center"/>
    </xf>
    <xf numFmtId="172" fontId="20" fillId="9" borderId="8" xfId="3" applyNumberFormat="1" applyFont="1" applyFill="1" applyBorder="1" applyAlignment="1">
      <alignment vertical="center"/>
    </xf>
    <xf numFmtId="0" fontId="26" fillId="3" borderId="1" xfId="3" applyFont="1" applyFill="1" applyBorder="1" applyAlignment="1">
      <alignment horizontal="center" vertical="center"/>
    </xf>
    <xf numFmtId="169" fontId="26" fillId="10" borderId="4" xfId="0" applyNumberFormat="1" applyFont="1" applyFill="1" applyBorder="1" applyAlignment="1">
      <alignment horizontal="left" vertical="center" wrapText="1"/>
    </xf>
    <xf numFmtId="0" fontId="26" fillId="10" borderId="2" xfId="0" applyFont="1" applyFill="1" applyBorder="1" applyAlignment="1">
      <alignment horizontal="left" vertical="center" wrapText="1"/>
    </xf>
    <xf numFmtId="0" fontId="26" fillId="10" borderId="4" xfId="0" applyFont="1" applyFill="1" applyBorder="1" applyAlignment="1">
      <alignment horizontal="left" vertical="center" wrapText="1"/>
    </xf>
    <xf numFmtId="170" fontId="26" fillId="10" borderId="4" xfId="0" applyNumberFormat="1" applyFont="1" applyFill="1" applyBorder="1" applyAlignment="1">
      <alignment horizontal="center" vertical="center"/>
    </xf>
    <xf numFmtId="168" fontId="26" fillId="3" borderId="2" xfId="2" applyNumberFormat="1" applyFont="1" applyFill="1" applyBorder="1" applyAlignment="1">
      <alignment horizontal="right" vertical="center"/>
    </xf>
    <xf numFmtId="168" fontId="26" fillId="0" borderId="2" xfId="2" applyNumberFormat="1" applyFont="1" applyBorder="1" applyAlignment="1">
      <alignment horizontal="right" vertical="center"/>
    </xf>
    <xf numFmtId="167" fontId="26" fillId="0" borderId="3" xfId="2" applyNumberFormat="1" applyFont="1" applyBorder="1" applyAlignment="1">
      <alignment horizontal="right" vertical="center"/>
    </xf>
    <xf numFmtId="173" fontId="26" fillId="10" borderId="4" xfId="5" applyNumberFormat="1" applyFont="1" applyFill="1" applyBorder="1" applyAlignment="1">
      <alignment horizontal="center" vertical="center"/>
    </xf>
    <xf numFmtId="0" fontId="28" fillId="4" borderId="15" xfId="0" applyFont="1" applyFill="1" applyBorder="1" applyAlignment="1">
      <alignment horizontal="center" vertical="center"/>
    </xf>
    <xf numFmtId="171" fontId="29" fillId="0" borderId="15" xfId="0" applyNumberFormat="1" applyFont="1" applyBorder="1" applyAlignment="1">
      <alignment horizontal="right" vertical="center"/>
    </xf>
    <xf numFmtId="167" fontId="29" fillId="0" borderId="16" xfId="2" applyNumberFormat="1" applyFont="1" applyBorder="1" applyAlignment="1">
      <alignment horizontal="right" vertical="center"/>
    </xf>
    <xf numFmtId="0" fontId="28" fillId="4" borderId="17" xfId="0" applyFont="1" applyFill="1" applyBorder="1" applyAlignment="1">
      <alignment horizontal="center" vertical="center"/>
    </xf>
    <xf numFmtId="171" fontId="29" fillId="0" borderId="17" xfId="0" applyNumberFormat="1" applyFont="1" applyBorder="1" applyAlignment="1">
      <alignment horizontal="right" vertical="center"/>
    </xf>
    <xf numFmtId="167" fontId="29" fillId="0" borderId="18" xfId="2" applyNumberFormat="1" applyFont="1" applyBorder="1" applyAlignment="1">
      <alignment horizontal="right" vertical="center"/>
    </xf>
    <xf numFmtId="174" fontId="0" fillId="0" borderId="0" xfId="0" applyNumberFormat="1"/>
    <xf numFmtId="0" fontId="32" fillId="4" borderId="28" xfId="4" applyFont="1" applyFill="1" applyBorder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0" fillId="0" borderId="2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30" xfId="0" applyBorder="1"/>
    <xf numFmtId="0" fontId="30" fillId="4" borderId="23" xfId="4" applyFont="1" applyFill="1" applyBorder="1" applyAlignment="1">
      <alignment horizontal="left" vertical="center"/>
    </xf>
    <xf numFmtId="0" fontId="0" fillId="0" borderId="24" xfId="0" applyBorder="1"/>
    <xf numFmtId="0" fontId="0" fillId="0" borderId="25" xfId="0" applyBorder="1"/>
    <xf numFmtId="0" fontId="1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3" fillId="4" borderId="31" xfId="4" applyFont="1" applyFill="1" applyBorder="1" applyAlignment="1">
      <alignment horizontal="left" vertical="center" wrapText="1"/>
    </xf>
    <xf numFmtId="0" fontId="0" fillId="0" borderId="32" xfId="0" applyBorder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1" fillId="4" borderId="26" xfId="4" applyFont="1" applyFill="1" applyBorder="1" applyAlignment="1">
      <alignment horizontal="left" vertical="center"/>
    </xf>
    <xf numFmtId="0" fontId="0" fillId="0" borderId="27" xfId="0" applyBorder="1"/>
    <xf numFmtId="0" fontId="27" fillId="0" borderId="12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3" fillId="0" borderId="0" xfId="1" applyFont="1" applyAlignment="1" applyProtection="1">
      <alignment horizontal="left"/>
    </xf>
    <xf numFmtId="0" fontId="34" fillId="4" borderId="33" xfId="4" applyFont="1" applyFill="1" applyBorder="1" applyAlignment="1">
      <alignment horizontal="left" vertical="center" wrapText="1"/>
    </xf>
    <xf numFmtId="0" fontId="0" fillId="0" borderId="34" xfId="0" applyBorder="1"/>
    <xf numFmtId="0" fontId="1" fillId="0" borderId="0" xfId="0" applyFont="1" applyAlignment="1">
      <alignment horizontal="left" vertical="center"/>
    </xf>
    <xf numFmtId="0" fontId="25" fillId="4" borderId="31" xfId="4" applyFont="1" applyFill="1" applyBorder="1" applyAlignment="1">
      <alignment horizontal="left" vertical="center" wrapText="1"/>
    </xf>
    <xf numFmtId="0" fontId="12" fillId="5" borderId="5" xfId="4" applyFont="1" applyFill="1" applyBorder="1" applyAlignment="1">
      <alignment horizontal="center" vertical="center"/>
    </xf>
    <xf numFmtId="0" fontId="18" fillId="7" borderId="0" xfId="4" applyFont="1" applyFill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8" fillId="6" borderId="0" xfId="4" applyFont="1" applyFill="1" applyAlignment="1">
      <alignment horizontal="center" vertical="center" wrapText="1"/>
    </xf>
  </cellXfs>
  <cellStyles count="9">
    <cellStyle name="Currency" xfId="2" builtinId="4"/>
    <cellStyle name="Hyperlink" xfId="1" builtinId="8"/>
    <cellStyle name="Neutral" xfId="4" builtinId="28"/>
    <cellStyle name="Normal" xfId="0" builtinId="0"/>
    <cellStyle name="Normal 3" xfId="7" xr:uid="{00000000-0005-0000-0000-000007000000}"/>
    <cellStyle name="Normal 3 2" xfId="6" xr:uid="{00000000-0005-0000-0000-000006000000}"/>
    <cellStyle name="Percent" xfId="8" builtinId="5"/>
    <cellStyle name="一般 2" xfId="3" xr:uid="{00000000-0005-0000-0000-000003000000}"/>
    <cellStyle name="千分位[0]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190500</xdr:rowOff>
    </xdr:from>
    <xdr:to>
      <xdr:col>2</xdr:col>
      <xdr:colOff>21771</xdr:colOff>
      <xdr:row>6</xdr:row>
      <xdr:rowOff>170845</xdr:rowOff>
    </xdr:to>
    <xdr:grpSp>
      <xdr:nvGrpSpPr>
        <xdr:cNvPr id="3" name="群組 1">
          <a:extLst>
            <a:ext uri="{FF2B5EF4-FFF2-40B4-BE49-F238E27FC236}">
              <a16:creationId xmlns:a16="http://schemas.microsoft.com/office/drawing/2014/main" id="{D0A50AEE-5423-4ACF-9A73-6EBD366AB7F2}"/>
            </a:ext>
          </a:extLst>
        </xdr:cNvPr>
        <xdr:cNvGrpSpPr/>
      </xdr:nvGrpSpPr>
      <xdr:grpSpPr>
        <a:xfrm>
          <a:off x="0" y="424962"/>
          <a:ext cx="2674117" cy="1372460"/>
          <a:chOff x="64189" y="336331"/>
          <a:chExt cx="2106197" cy="1066801"/>
        </a:xfrm>
      </xdr:grpSpPr>
      <xdr:pic>
        <xdr:nvPicPr>
          <xdr:cNvPr id="5" name="圖片 2">
            <a:extLst>
              <a:ext uri="{FF2B5EF4-FFF2-40B4-BE49-F238E27FC236}">
                <a16:creationId xmlns:a16="http://schemas.microsoft.com/office/drawing/2014/main" id="{EAC45B74-6A8A-5390-25C8-F63B36127AA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t="10027" b="3604"/>
          <a:stretch>
            <a:fillRect/>
          </a:stretch>
        </xdr:blipFill>
        <xdr:spPr>
          <a:xfrm>
            <a:off x="148270" y="336331"/>
            <a:ext cx="1935405" cy="633741"/>
          </a:xfrm>
          <a:prstGeom prst="rect">
            <a:avLst/>
          </a:prstGeom>
        </xdr:spPr>
      </xdr:pic>
      <xdr:pic>
        <xdr:nvPicPr>
          <xdr:cNvPr id="6" name="圖片 3">
            <a:extLst>
              <a:ext uri="{FF2B5EF4-FFF2-40B4-BE49-F238E27FC236}">
                <a16:creationId xmlns:a16="http://schemas.microsoft.com/office/drawing/2014/main" id="{8A0C0E8E-F3D3-F9DC-0E9D-6EEB62DC41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4189" y="945931"/>
            <a:ext cx="2106197" cy="45720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  <pageSetUpPr fitToPage="1"/>
  </sheetPr>
  <dimension ref="A1:Q42"/>
  <sheetViews>
    <sheetView tabSelected="1" view="pageBreakPreview" topLeftCell="A15" zoomScale="52" zoomScaleNormal="52" zoomScaleSheetLayoutView="52" workbookViewId="0">
      <selection activeCell="D16" sqref="D16"/>
    </sheetView>
  </sheetViews>
  <sheetFormatPr defaultColWidth="9" defaultRowHeight="15"/>
  <cols>
    <col min="1" max="1" width="5.33203125" style="1" customWidth="1"/>
    <col min="2" max="2" width="33.33203125" style="5" customWidth="1"/>
    <col min="3" max="3" width="30.44140625" style="1" customWidth="1"/>
    <col min="4" max="4" width="52.77734375" style="1" customWidth="1"/>
    <col min="5" max="5" width="27.33203125" style="1" customWidth="1"/>
    <col min="6" max="6" width="24.5546875" style="1" bestFit="1" customWidth="1"/>
    <col min="7" max="7" width="25.33203125" style="1" bestFit="1" customWidth="1"/>
    <col min="8" max="8" width="39.21875" style="1" bestFit="1" customWidth="1"/>
    <col min="9" max="9" width="9" style="1" customWidth="1"/>
    <col min="10" max="10" width="21.6640625" style="1" bestFit="1" customWidth="1"/>
    <col min="11" max="11" width="21.6640625" style="1" customWidth="1"/>
    <col min="12" max="12" width="17" style="1" bestFit="1" customWidth="1"/>
    <col min="13" max="13" width="10.6640625" style="1" bestFit="1" customWidth="1"/>
    <col min="14" max="14" width="16" style="1" bestFit="1" customWidth="1"/>
    <col min="15" max="15" width="18.44140625" style="1" bestFit="1" customWidth="1"/>
    <col min="16" max="16" width="9" style="1" customWidth="1"/>
    <col min="17" max="17" width="20.44140625" style="1" bestFit="1" customWidth="1"/>
    <col min="18" max="18" width="9" style="1" customWidth="1"/>
    <col min="19" max="16384" width="9" style="1"/>
  </cols>
  <sheetData>
    <row r="1" spans="1:17" ht="18" customHeight="1">
      <c r="B1" s="2"/>
      <c r="C1" s="88" t="s">
        <v>0</v>
      </c>
      <c r="D1" s="70"/>
      <c r="E1" s="86" t="s">
        <v>1</v>
      </c>
      <c r="F1" s="70"/>
      <c r="G1" s="70"/>
      <c r="H1" s="70"/>
    </row>
    <row r="2" spans="1:17" ht="19.2" customHeight="1">
      <c r="A2" s="3"/>
      <c r="B2" s="2"/>
      <c r="C2" s="14" t="s">
        <v>2</v>
      </c>
      <c r="D2" s="16" t="s">
        <v>3</v>
      </c>
      <c r="E2" s="14" t="s">
        <v>2</v>
      </c>
      <c r="F2" s="83" t="s">
        <v>4</v>
      </c>
      <c r="G2" s="70"/>
      <c r="H2" s="70"/>
    </row>
    <row r="3" spans="1:17" ht="19.2" customHeight="1">
      <c r="A3" s="3"/>
      <c r="B3" s="2"/>
      <c r="C3" s="14" t="s">
        <v>5</v>
      </c>
      <c r="D3" s="16" t="s">
        <v>6</v>
      </c>
      <c r="E3" s="14" t="s">
        <v>5</v>
      </c>
      <c r="F3" s="69"/>
      <c r="G3" s="70"/>
    </row>
    <row r="4" spans="1:17" ht="19.2" customHeight="1">
      <c r="A4" s="3"/>
      <c r="B4" s="2"/>
      <c r="C4" s="15" t="s">
        <v>7</v>
      </c>
      <c r="D4" s="17" t="s">
        <v>8</v>
      </c>
      <c r="E4" s="15" t="s">
        <v>7</v>
      </c>
      <c r="F4" s="83"/>
      <c r="G4" s="70"/>
    </row>
    <row r="5" spans="1:17" ht="15.6" customHeight="1">
      <c r="A5" s="3"/>
      <c r="B5" s="2"/>
      <c r="C5" s="14" t="s">
        <v>9</v>
      </c>
      <c r="D5" s="16"/>
      <c r="E5" s="14" t="s">
        <v>9</v>
      </c>
      <c r="F5" s="80"/>
      <c r="G5" s="70"/>
    </row>
    <row r="6" spans="1:17" ht="34.799999999999997" customHeight="1">
      <c r="A6" s="3"/>
      <c r="B6" s="2"/>
      <c r="C6" s="15" t="s">
        <v>10</v>
      </c>
      <c r="D6" s="18" t="s">
        <v>11</v>
      </c>
      <c r="E6" s="15" t="s">
        <v>10</v>
      </c>
      <c r="F6" s="74"/>
      <c r="G6" s="70"/>
      <c r="H6" s="70"/>
    </row>
    <row r="7" spans="1:17" ht="15.6" customHeight="1">
      <c r="A7" s="3"/>
      <c r="B7" s="2"/>
      <c r="C7" s="14" t="s">
        <v>12</v>
      </c>
      <c r="D7" s="30" t="s">
        <v>13</v>
      </c>
      <c r="E7" s="14" t="s">
        <v>12</v>
      </c>
      <c r="F7" s="83"/>
      <c r="G7" s="70"/>
      <c r="H7" s="70"/>
    </row>
    <row r="8" spans="1:17">
      <c r="B8" s="73"/>
      <c r="C8" s="70"/>
      <c r="D8" s="70"/>
      <c r="E8" s="70"/>
      <c r="F8" s="4"/>
      <c r="G8" s="4"/>
    </row>
    <row r="9" spans="1:17" ht="21.6" customHeight="1">
      <c r="A9" s="85" t="s">
        <v>14</v>
      </c>
      <c r="B9" s="60"/>
      <c r="C9" s="70"/>
      <c r="D9" s="70"/>
      <c r="E9" s="70"/>
      <c r="F9" s="70"/>
      <c r="G9" s="70"/>
      <c r="H9" s="70"/>
    </row>
    <row r="10" spans="1:17" ht="16.2" customHeight="1" thickBot="1">
      <c r="A10" s="32" t="s">
        <v>15</v>
      </c>
      <c r="B10" s="7"/>
      <c r="C10" s="8"/>
      <c r="D10" s="8"/>
      <c r="E10" s="9"/>
      <c r="F10" s="9"/>
      <c r="G10" s="9"/>
    </row>
    <row r="11" spans="1:17" ht="35.4" customHeight="1" thickBot="1">
      <c r="A11" s="21" t="s">
        <v>16</v>
      </c>
      <c r="B11" s="22" t="s">
        <v>17</v>
      </c>
      <c r="C11" s="22" t="s">
        <v>18</v>
      </c>
      <c r="D11" s="22" t="s">
        <v>19</v>
      </c>
      <c r="E11" s="23" t="s">
        <v>20</v>
      </c>
      <c r="F11" s="24" t="s">
        <v>21</v>
      </c>
      <c r="G11" s="25" t="s">
        <v>22</v>
      </c>
      <c r="H11" s="26" t="s">
        <v>23</v>
      </c>
    </row>
    <row r="12" spans="1:17" s="6" customFormat="1" ht="20.399999999999999" customHeight="1">
      <c r="A12" s="27" t="s">
        <v>24</v>
      </c>
      <c r="B12" s="28"/>
      <c r="C12" s="28"/>
      <c r="D12" s="28"/>
      <c r="E12" s="28"/>
      <c r="F12" s="29"/>
      <c r="G12" s="29"/>
      <c r="H12" s="42">
        <v>26130</v>
      </c>
      <c r="J12" s="34" t="s">
        <v>25</v>
      </c>
      <c r="K12" s="34" t="s">
        <v>26</v>
      </c>
      <c r="L12" s="35" t="s">
        <v>27</v>
      </c>
      <c r="M12" s="36" t="s">
        <v>28</v>
      </c>
      <c r="N12" s="36" t="s">
        <v>29</v>
      </c>
      <c r="O12" s="36" t="s">
        <v>30</v>
      </c>
    </row>
    <row r="13" spans="1:17" s="6" customFormat="1" ht="191.55" customHeight="1">
      <c r="A13" s="43">
        <v>1</v>
      </c>
      <c r="B13" s="44" t="s">
        <v>31</v>
      </c>
      <c r="C13" s="45" t="s">
        <v>32</v>
      </c>
      <c r="D13" s="46" t="s">
        <v>33</v>
      </c>
      <c r="E13" s="47">
        <v>4</v>
      </c>
      <c r="F13" s="48"/>
      <c r="G13" s="49">
        <f t="shared" ref="G13:G17" si="0">F13*E13</f>
        <v>0</v>
      </c>
      <c r="H13" s="50">
        <f>G13*H12</f>
        <v>0</v>
      </c>
      <c r="J13" s="37"/>
      <c r="K13" s="38">
        <v>0</v>
      </c>
      <c r="L13" s="39">
        <f t="shared" ref="L13:L17" si="1">J13*K13</f>
        <v>0</v>
      </c>
      <c r="M13" s="39">
        <f t="shared" ref="M13:M17" si="2">J13*0.07</f>
        <v>0</v>
      </c>
      <c r="N13" s="39">
        <f t="shared" ref="N13:N17" si="3">J13+L13+M13</f>
        <v>0</v>
      </c>
      <c r="O13" s="39">
        <f t="shared" ref="O13:O17" si="4">N13*E13</f>
        <v>0</v>
      </c>
      <c r="Q13" s="31"/>
    </row>
    <row r="14" spans="1:17" s="6" customFormat="1" ht="172.05" customHeight="1">
      <c r="A14" s="43">
        <v>2</v>
      </c>
      <c r="B14" s="44" t="s">
        <v>34</v>
      </c>
      <c r="C14" s="45" t="s">
        <v>35</v>
      </c>
      <c r="D14" s="46" t="s">
        <v>36</v>
      </c>
      <c r="E14" s="47">
        <v>3</v>
      </c>
      <c r="F14" s="48"/>
      <c r="G14" s="49">
        <f t="shared" si="0"/>
        <v>0</v>
      </c>
      <c r="H14" s="50">
        <f>G14*H12</f>
        <v>0</v>
      </c>
      <c r="J14" s="37"/>
      <c r="K14" s="38">
        <v>0.2</v>
      </c>
      <c r="L14" s="39">
        <f t="shared" si="1"/>
        <v>0</v>
      </c>
      <c r="M14" s="39">
        <f t="shared" si="2"/>
        <v>0</v>
      </c>
      <c r="N14" s="39">
        <f t="shared" si="3"/>
        <v>0</v>
      </c>
      <c r="O14" s="39">
        <f t="shared" si="4"/>
        <v>0</v>
      </c>
    </row>
    <row r="15" spans="1:17" s="6" customFormat="1" ht="172.05" customHeight="1">
      <c r="A15" s="43">
        <v>3</v>
      </c>
      <c r="B15" s="44" t="s">
        <v>37</v>
      </c>
      <c r="C15" s="45" t="s">
        <v>35</v>
      </c>
      <c r="D15" s="46" t="s">
        <v>38</v>
      </c>
      <c r="E15" s="47">
        <v>1</v>
      </c>
      <c r="F15" s="48"/>
      <c r="G15" s="49">
        <f t="shared" si="0"/>
        <v>0</v>
      </c>
      <c r="H15" s="50">
        <f>G15*H12</f>
        <v>0</v>
      </c>
      <c r="J15" s="37"/>
      <c r="K15" s="38">
        <v>0.2</v>
      </c>
      <c r="L15" s="39">
        <f t="shared" si="1"/>
        <v>0</v>
      </c>
      <c r="M15" s="39">
        <f t="shared" si="2"/>
        <v>0</v>
      </c>
      <c r="N15" s="39">
        <f t="shared" si="3"/>
        <v>0</v>
      </c>
      <c r="O15" s="39">
        <f t="shared" si="4"/>
        <v>0</v>
      </c>
    </row>
    <row r="16" spans="1:17" s="6" customFormat="1" ht="211.05" customHeight="1">
      <c r="A16" s="43">
        <v>4</v>
      </c>
      <c r="B16" s="44" t="s">
        <v>55</v>
      </c>
      <c r="C16" s="45" t="s">
        <v>39</v>
      </c>
      <c r="D16" s="46" t="s">
        <v>56</v>
      </c>
      <c r="E16" s="51">
        <v>1</v>
      </c>
      <c r="F16" s="48"/>
      <c r="G16" s="49">
        <f t="shared" si="0"/>
        <v>0</v>
      </c>
      <c r="H16" s="50">
        <f>G16*H12</f>
        <v>0</v>
      </c>
      <c r="J16" s="12"/>
      <c r="K16" s="33">
        <v>0.08</v>
      </c>
      <c r="L16" s="39">
        <f t="shared" si="1"/>
        <v>0</v>
      </c>
      <c r="M16">
        <f t="shared" si="2"/>
        <v>0</v>
      </c>
      <c r="N16" s="39">
        <f t="shared" si="3"/>
        <v>0</v>
      </c>
      <c r="O16" s="39">
        <f t="shared" si="4"/>
        <v>0</v>
      </c>
    </row>
    <row r="17" spans="1:15" s="6" customFormat="1" ht="211.05" customHeight="1">
      <c r="A17" s="43">
        <v>5</v>
      </c>
      <c r="B17" s="44" t="s">
        <v>40</v>
      </c>
      <c r="C17" s="45" t="s">
        <v>40</v>
      </c>
      <c r="D17" s="46" t="s">
        <v>41</v>
      </c>
      <c r="E17" s="51">
        <v>1</v>
      </c>
      <c r="F17" s="48"/>
      <c r="G17" s="49">
        <f t="shared" si="0"/>
        <v>0</v>
      </c>
      <c r="H17" s="50">
        <f>G17*H12</f>
        <v>0</v>
      </c>
      <c r="J17" s="12"/>
      <c r="K17" s="33">
        <v>0.08</v>
      </c>
      <c r="L17" s="39">
        <f t="shared" si="1"/>
        <v>0</v>
      </c>
      <c r="M17">
        <f t="shared" si="2"/>
        <v>0</v>
      </c>
      <c r="N17" s="39">
        <f t="shared" si="3"/>
        <v>0</v>
      </c>
      <c r="O17" s="39">
        <f t="shared" si="4"/>
        <v>0</v>
      </c>
    </row>
    <row r="18" spans="1:15" ht="18" customHeight="1" thickBot="1">
      <c r="A18" s="77" t="s">
        <v>42</v>
      </c>
      <c r="B18" s="78"/>
      <c r="C18" s="78"/>
      <c r="D18" s="78"/>
      <c r="E18" s="78"/>
      <c r="F18" s="78"/>
      <c r="G18" s="78"/>
      <c r="H18" s="79"/>
      <c r="N18" s="40" t="s">
        <v>43</v>
      </c>
      <c r="O18" s="41">
        <f>SUM(O13:O17)</f>
        <v>0</v>
      </c>
    </row>
    <row r="19" spans="1:15" ht="37.950000000000003" customHeight="1">
      <c r="A19" s="87"/>
      <c r="B19" s="60"/>
      <c r="C19" s="70"/>
      <c r="D19" s="70"/>
      <c r="E19" s="70"/>
      <c r="F19" s="52" t="s">
        <v>44</v>
      </c>
      <c r="G19" s="53">
        <f>SUM(G13:G17)</f>
        <v>0</v>
      </c>
      <c r="H19" s="54">
        <f>G19*H12</f>
        <v>0</v>
      </c>
      <c r="N19" s="40" t="s">
        <v>43</v>
      </c>
      <c r="O19" s="41">
        <f>SUM(O13:O17)</f>
        <v>0</v>
      </c>
    </row>
    <row r="20" spans="1:15" ht="37.950000000000003" customHeight="1">
      <c r="A20" s="62"/>
      <c r="B20" s="60"/>
      <c r="C20" s="70"/>
      <c r="D20" s="70"/>
      <c r="E20" s="70"/>
      <c r="F20" s="52" t="s">
        <v>45</v>
      </c>
      <c r="G20" s="53">
        <f>G19*0.08</f>
        <v>0</v>
      </c>
      <c r="H20" s="54">
        <f>H19*0.08</f>
        <v>0</v>
      </c>
      <c r="N20" s="1" t="s">
        <v>46</v>
      </c>
      <c r="O20" s="33">
        <f>G19-O19</f>
        <v>0</v>
      </c>
    </row>
    <row r="21" spans="1:15" ht="37.950000000000003" customHeight="1" thickBot="1">
      <c r="A21" s="63"/>
      <c r="B21" s="64"/>
      <c r="C21" s="64"/>
      <c r="D21" s="64"/>
      <c r="E21" s="64"/>
      <c r="F21" s="55" t="s">
        <v>47</v>
      </c>
      <c r="G21" s="56">
        <f>G19*1.08</f>
        <v>0</v>
      </c>
      <c r="H21" s="57">
        <f>H19*1.08</f>
        <v>0</v>
      </c>
      <c r="N21" t="s">
        <v>48</v>
      </c>
      <c r="O21" s="58" t="e">
        <f>O20/G19</f>
        <v>#DIV/0!</v>
      </c>
    </row>
    <row r="22" spans="1:15" ht="24" customHeight="1">
      <c r="A22" s="66" t="s">
        <v>49</v>
      </c>
      <c r="B22" s="67"/>
      <c r="C22" s="68"/>
      <c r="D22" s="75" t="s">
        <v>50</v>
      </c>
      <c r="E22" s="67"/>
      <c r="F22" s="67"/>
      <c r="G22" s="67"/>
      <c r="H22" s="76"/>
    </row>
    <row r="23" spans="1:15" ht="54" customHeight="1">
      <c r="A23" s="59" t="s">
        <v>51</v>
      </c>
      <c r="B23" s="60"/>
      <c r="C23" s="61"/>
      <c r="D23" s="71" t="s">
        <v>52</v>
      </c>
      <c r="E23" s="70"/>
      <c r="F23" s="70"/>
      <c r="G23" s="70"/>
      <c r="H23" s="72"/>
    </row>
    <row r="24" spans="1:15" ht="54" customHeight="1">
      <c r="A24" s="62"/>
      <c r="B24" s="60"/>
      <c r="C24" s="61"/>
      <c r="D24" s="84" t="s">
        <v>53</v>
      </c>
      <c r="E24" s="70"/>
      <c r="F24" s="70"/>
      <c r="G24" s="70"/>
      <c r="H24" s="72"/>
    </row>
    <row r="25" spans="1:15" ht="58.05" customHeight="1" thickBot="1">
      <c r="A25" s="63"/>
      <c r="B25" s="64"/>
      <c r="C25" s="65"/>
      <c r="D25" s="81" t="s">
        <v>54</v>
      </c>
      <c r="E25" s="64"/>
      <c r="F25" s="64"/>
      <c r="G25" s="64"/>
      <c r="H25" s="82"/>
    </row>
    <row r="30" spans="1:15">
      <c r="G30" s="11"/>
    </row>
    <row r="31" spans="1:15">
      <c r="G31" s="10"/>
    </row>
    <row r="32" spans="1:15">
      <c r="G32" s="11"/>
    </row>
    <row r="33" spans="6:8">
      <c r="F33" s="19"/>
      <c r="G33" s="11"/>
    </row>
    <row r="34" spans="6:8">
      <c r="F34" s="20"/>
    </row>
    <row r="35" spans="6:8">
      <c r="F35" s="11"/>
    </row>
    <row r="42" spans="6:8">
      <c r="H42" s="13"/>
    </row>
  </sheetData>
  <mergeCells count="18">
    <mergeCell ref="F2:H2"/>
    <mergeCell ref="E1:H1"/>
    <mergeCell ref="A19:E21"/>
    <mergeCell ref="C1:D1"/>
    <mergeCell ref="A23:C25"/>
    <mergeCell ref="A22:C22"/>
    <mergeCell ref="F3:G3"/>
    <mergeCell ref="D23:H23"/>
    <mergeCell ref="B8:E8"/>
    <mergeCell ref="F6:H6"/>
    <mergeCell ref="D22:H22"/>
    <mergeCell ref="A18:H18"/>
    <mergeCell ref="F5:G5"/>
    <mergeCell ref="D25:H25"/>
    <mergeCell ref="F7:H7"/>
    <mergeCell ref="D24:H24"/>
    <mergeCell ref="A9:H9"/>
    <mergeCell ref="F4:G4"/>
  </mergeCells>
  <printOptions horizontalCentered="1"/>
  <pageMargins left="0.5" right="0.5" top="0.5" bottom="0.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PouHui</vt:lpstr>
      <vt:lpstr>PouHui!Print_Area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eSafe360.com</dc:creator>
  <cp:lastModifiedBy>bang nguyen</cp:lastModifiedBy>
  <cp:lastPrinted>2026-07-24T08:54:40Z</cp:lastPrinted>
  <dcterms:created xsi:type="dcterms:W3CDTF">2004-05-25T02:02:00Z</dcterms:created>
  <dcterms:modified xsi:type="dcterms:W3CDTF">2026-10-22T04:24:07Z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1028-11.8.2.8378</vt:lpwstr>
  </property>
</Properties>
</file>