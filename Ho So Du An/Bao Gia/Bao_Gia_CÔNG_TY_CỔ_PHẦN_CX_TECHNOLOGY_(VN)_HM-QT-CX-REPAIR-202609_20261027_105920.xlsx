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0" autoFilterDateGrouping="1"/>
  </bookViews>
  <sheets>
    <sheet xmlns:r="http://schemas.openxmlformats.org/officeDocument/2006/relationships" name="BÁO GIÁ THẺ RFID SILICON" sheetId="1" state="visible" r:id="rId1"/>
  </sheets>
  <definedNames>
    <definedName name="_xlnm.Print_Area" localSheetId="0">'BÁO GIÁ THẺ RFID SILICON'!$A$1:$I$22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\ &quot;CÁI&quot;"/>
    <numFmt numFmtId="165" formatCode="[$VND]\ #,##0;[Red][$VND]\ #,##0"/>
    <numFmt numFmtId="166" formatCode="[$VND]\ #,##0_);\([$VND]\ #,##0\)"/>
    <numFmt numFmtId="167" formatCode="_-&quot;$&quot;* #,##0.00_-;\-&quot;$&quot;* #,##0.00_-;_-&quot;$&quot;* &quot;-&quot;??_-;_-@_-"/>
    <numFmt numFmtId="168" formatCode="_ * #,##0.00_ ;_ * \-#,##0.00_ ;_ * &quot;-&quot;??_ ;_ @_ "/>
    <numFmt numFmtId="169" formatCode="_-* #,##0.00\ &quot;₫&quot;_-;\-* #,##0.00\ &quot;₫&quot;_-;_-* &quot;-&quot;??\ &quot;₫&quot;_-;_-@_-"/>
    <numFmt numFmtId="170" formatCode="_ * #,##0_ ;_ * \-#,##0_ ;_ * &quot;-&quot;_ ;_ @_ "/>
    <numFmt numFmtId="171" formatCode="_-* #,##0\ &quot;₫&quot;_-;\-* #,##0\ &quot;₫&quot;_-;_-* &quot;-&quot;\ &quot;₫&quot;_-;_-@_-"/>
    <numFmt numFmtId="172" formatCode="[$VND] #,##0_;([$VND] #,##0)"/>
  </numFmts>
  <fonts count="79">
    <font>
      <name val="新細明體"/>
      <charset val="136"/>
      <sz val="12"/>
    </font>
    <font>
      <name val="Arial"/>
      <charset val="136"/>
      <sz val="12"/>
    </font>
    <font>
      <name val="Arial"/>
      <charset val="134"/>
      <sz val="14"/>
    </font>
    <font>
      <name val="Arial"/>
      <charset val="134"/>
      <sz val="12"/>
    </font>
    <font>
      <name val="微軟正黑體"/>
      <charset val="136"/>
      <b val="1"/>
      <color theme="0"/>
      <sz val="12"/>
    </font>
    <font>
      <name val="Microsoft YaHei"/>
      <charset val="136"/>
      <b val="1"/>
      <sz val="12"/>
    </font>
    <font>
      <name val="Microsoft YaHei"/>
      <charset val="136"/>
      <sz val="12"/>
    </font>
    <font>
      <name val="Microsoft YaHei"/>
      <charset val="136"/>
      <color indexed="12"/>
      <sz val="12"/>
      <u val="single"/>
    </font>
    <font>
      <name val="Arial"/>
      <charset val="136"/>
      <color theme="0"/>
      <sz val="12"/>
    </font>
    <font>
      <name val="微軟正黑體"/>
      <charset val="136"/>
      <sz val="14"/>
    </font>
    <font>
      <name val="微軟正黑體"/>
      <charset val="136"/>
      <sz val="12"/>
    </font>
    <font>
      <name val="微軟正黑體"/>
      <charset val="136"/>
      <b val="1"/>
      <sz val="16"/>
    </font>
    <font>
      <name val="微軟正黑體"/>
      <charset val="136"/>
      <b val="1"/>
      <color indexed="8"/>
      <sz val="16"/>
    </font>
    <font>
      <name val="Calibri"/>
      <charset val="134"/>
      <color rgb="FF1F1F1F"/>
      <sz val="16"/>
      <scheme val="minor"/>
    </font>
    <font>
      <name val="Arial"/>
      <charset val="134"/>
      <color rgb="FF1F1F1F"/>
      <sz val="16"/>
    </font>
    <font>
      <name val="Arial"/>
      <charset val="134"/>
      <sz val="16"/>
    </font>
    <font>
      <name val="Calibri"/>
      <charset val="134"/>
      <sz val="16"/>
      <scheme val="minor"/>
    </font>
    <font>
      <name val="Calibri"/>
      <charset val="134"/>
      <color theme="1"/>
      <sz val="16"/>
      <scheme val="minor"/>
    </font>
    <font>
      <name val="微軟正黑體"/>
      <charset val="136"/>
      <b val="1"/>
      <color rgb="FF0000FF"/>
      <sz val="12"/>
    </font>
    <font>
      <name val="Arial"/>
      <charset val="134"/>
      <b val="1"/>
      <color rgb="FFFF0000"/>
      <sz val="14"/>
    </font>
    <font>
      <name val="Arial"/>
      <charset val="134"/>
      <b val="1"/>
      <sz val="14"/>
    </font>
    <font>
      <name val="Arial"/>
      <charset val="134"/>
      <color rgb="FF9C6500"/>
      <sz val="14"/>
    </font>
    <font>
      <name val="Arial"/>
      <charset val="134"/>
      <color rgb="FF9C6500"/>
      <sz val="11"/>
    </font>
    <font>
      <name val="Arial"/>
      <charset val="134"/>
      <color rgb="FF9C6500"/>
      <sz val="10"/>
    </font>
    <font>
      <name val="微軟正黑體"/>
      <charset val="136"/>
      <b val="1"/>
      <color theme="1"/>
      <sz val="12"/>
    </font>
    <font>
      <name val="微軟正黑體"/>
      <charset val="136"/>
      <color rgb="FF9C6500"/>
      <sz val="12"/>
    </font>
    <font>
      <name val="Arial"/>
      <charset val="134"/>
      <color rgb="FF9C6500"/>
      <sz val="12"/>
    </font>
    <font>
      <name val="Arial"/>
      <charset val="134"/>
      <sz val="11"/>
    </font>
    <font>
      <name val="微軟正黑體"/>
      <charset val="136"/>
      <color rgb="FFFF0000"/>
      <sz val="12"/>
    </font>
    <font>
      <name val="微軟正黑體"/>
      <charset val="136"/>
      <color rgb="FF0000FF"/>
      <sz val="12"/>
    </font>
    <font>
      <name val="Calibri"/>
      <charset val="134"/>
      <color theme="1"/>
      <sz val="11"/>
      <scheme val="minor"/>
    </font>
    <font>
      <name val="新細明體"/>
      <charset val="136"/>
      <color indexed="12"/>
      <sz val="12"/>
      <u val="single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6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新細明體"/>
      <charset val="136"/>
      <sz val="12"/>
    </font>
    <font>
      <name val="細明體"/>
      <charset val="136"/>
      <sz val="12"/>
    </font>
    <font>
      <name val="Segoe UI"/>
      <charset val="238"/>
      <b val="1"/>
      <color theme="0"/>
      <sz val="12"/>
    </font>
    <font>
      <name val="Calibri"/>
      <charset val="163"/>
      <b val="1"/>
      <color theme="0"/>
      <sz val="12"/>
    </font>
    <font>
      <name val="微軟正黑體"/>
      <charset val="136"/>
      <b val="1"/>
      <color rgb="FFFF0000"/>
      <sz val="14"/>
    </font>
    <font>
      <name val="微軟正黑體"/>
      <charset val="136"/>
      <color theme="1"/>
      <sz val="12"/>
    </font>
    <font>
      <name val="微軟正黑體"/>
      <charset val="136"/>
      <b val="1"/>
      <color rgb="FFFF0000"/>
      <sz val="12"/>
    </font>
    <font>
      <name val="Calibri"/>
      <charset val="163"/>
      <b val="1"/>
      <color rgb="FF0000FF"/>
      <sz val="12"/>
    </font>
    <font>
      <name val="Calibri"/>
      <charset val="163"/>
      <sz val="12"/>
    </font>
    <font>
      <name val="Microsoft YaHei"/>
      <charset val="134"/>
      <sz val="12"/>
    </font>
    <font>
      <name val="Segoe UI"/>
      <charset val="238"/>
      <sz val="12"/>
    </font>
    <font>
      <name val="Calibri"/>
      <charset val="163"/>
      <sz val="14"/>
    </font>
    <font>
      <name val="Segoe UI"/>
      <charset val="238"/>
      <sz val="14"/>
    </font>
    <font>
      <name val="Times New Roman"/>
      <charset val="136"/>
      <color rgb="FF0000FF"/>
      <sz val="12"/>
    </font>
    <font>
      <name val="Calibri"/>
      <charset val="163"/>
      <b val="1"/>
      <color rgb="FF000000"/>
      <sz val="16"/>
    </font>
    <font>
      <name val="微軟正黑體"/>
      <charset val="136"/>
      <color indexed="60"/>
      <sz val="14"/>
    </font>
    <font>
      <name val="Arial"/>
      <charset val="134"/>
      <color rgb="FF993300"/>
      <sz val="14"/>
    </font>
    <font>
      <name val="微軟正黑體"/>
      <charset val="136"/>
      <b val="1"/>
      <color rgb="FF000000"/>
      <sz val="16"/>
    </font>
    <font>
      <name val="Segoe UI"/>
      <charset val="238"/>
      <b val="1"/>
      <sz val="12"/>
    </font>
    <font>
      <name val="Microsoft YaHei"/>
      <charset val="134"/>
      <b val="1"/>
      <sz val="12"/>
    </font>
    <font>
      <name val="Calibri"/>
      <sz val="14"/>
    </font>
    <font>
      <name val="Arial"/>
      <sz val="13"/>
    </font>
    <font>
      <name val="微軟正黑體"/>
      <sz val="14"/>
    </font>
    <font>
      <name val="微軟正黑體"/>
      <b val="1"/>
      <color rgb="000000FF"/>
      <sz val="12"/>
    </font>
    <font>
      <name val="Arial"/>
      <b val="1"/>
      <color rgb="00FF0000"/>
      <sz val="14"/>
    </font>
    <font>
      <name val="Arial"/>
      <b val="1"/>
      <sz val="14"/>
    </font>
    <font>
      <name val="微軟正黑體"/>
      <b val="1"/>
      <sz val="11"/>
    </font>
    <font>
      <name val="微軟正黑體"/>
      <i val="1"/>
      <sz val="11"/>
    </font>
    <font>
      <name val="Arial"/>
      <sz val="9.5"/>
    </font>
  </fonts>
  <fills count="40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51">
    <xf numFmtId="0" fontId="50" fillId="0" borderId="0"/>
    <xf numFmtId="168" fontId="30" fillId="0" borderId="0" applyAlignment="1">
      <alignment vertical="center"/>
    </xf>
    <xf numFmtId="169" fontId="30" fillId="0" borderId="0" applyAlignment="1">
      <alignment vertical="center"/>
    </xf>
    <xf numFmtId="9" fontId="30" fillId="0" borderId="0" applyAlignment="1">
      <alignment vertical="center"/>
    </xf>
    <xf numFmtId="170" fontId="30" fillId="0" borderId="0" applyAlignment="1">
      <alignment vertical="center"/>
    </xf>
    <xf numFmtId="171" fontId="30" fillId="0" borderId="0" applyAlignment="1">
      <alignment vertical="center"/>
    </xf>
    <xf numFmtId="0" fontId="31" fillId="0" borderId="0" applyAlignment="1" applyProtection="1">
      <alignment vertical="top"/>
      <protection locked="0" hidden="0"/>
    </xf>
    <xf numFmtId="0" fontId="32" fillId="0" borderId="0" applyAlignment="1">
      <alignment vertical="center"/>
    </xf>
    <xf numFmtId="0" fontId="30" fillId="8" borderId="23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24" applyAlignment="1">
      <alignment vertical="center"/>
    </xf>
    <xf numFmtId="0" fontId="37" fillId="0" borderId="24" applyAlignment="1">
      <alignment vertical="center"/>
    </xf>
    <xf numFmtId="0" fontId="38" fillId="0" borderId="25" applyAlignment="1">
      <alignment vertical="center"/>
    </xf>
    <xf numFmtId="0" fontId="38" fillId="0" borderId="0" applyAlignment="1">
      <alignment vertical="center"/>
    </xf>
    <xf numFmtId="0" fontId="39" fillId="9" borderId="26" applyAlignment="1">
      <alignment vertical="center"/>
    </xf>
    <xf numFmtId="0" fontId="40" fillId="10" borderId="27" applyAlignment="1">
      <alignment vertical="center"/>
    </xf>
    <xf numFmtId="0" fontId="41" fillId="10" borderId="26" applyAlignment="1">
      <alignment vertical="center"/>
    </xf>
    <xf numFmtId="0" fontId="42" fillId="11" borderId="28" applyAlignment="1">
      <alignment vertical="center"/>
    </xf>
    <xf numFmtId="0" fontId="43" fillId="0" borderId="29" applyAlignment="1">
      <alignment vertical="center"/>
    </xf>
    <xf numFmtId="0" fontId="44" fillId="0" borderId="30" applyAlignment="1">
      <alignment vertical="center"/>
    </xf>
    <xf numFmtId="0" fontId="45" fillId="12" borderId="0" applyAlignment="1">
      <alignment vertical="center"/>
    </xf>
    <xf numFmtId="0" fontId="46" fillId="13" borderId="0" applyAlignment="1">
      <alignment vertical="center"/>
    </xf>
    <xf numFmtId="0" fontId="47" fillId="14" borderId="0" applyAlignment="1">
      <alignment vertical="center"/>
    </xf>
    <xf numFmtId="0" fontId="48" fillId="15" borderId="0" applyAlignment="1">
      <alignment vertical="center"/>
    </xf>
    <xf numFmtId="0" fontId="49" fillId="16" borderId="0" applyAlignment="1">
      <alignment vertical="center"/>
    </xf>
    <xf numFmtId="0" fontId="49" fillId="17" borderId="0" applyAlignment="1">
      <alignment vertical="center"/>
    </xf>
    <xf numFmtId="0" fontId="48" fillId="18" borderId="0" applyAlignment="1">
      <alignment vertical="center"/>
    </xf>
    <xf numFmtId="0" fontId="48" fillId="19" borderId="0" applyAlignment="1">
      <alignment vertical="center"/>
    </xf>
    <xf numFmtId="0" fontId="49" fillId="20" borderId="0" applyAlignment="1">
      <alignment vertical="center"/>
    </xf>
    <xf numFmtId="0" fontId="49" fillId="21" borderId="0" applyAlignment="1">
      <alignment vertical="center"/>
    </xf>
    <xf numFmtId="0" fontId="48" fillId="22" borderId="0" applyAlignment="1">
      <alignment vertical="center"/>
    </xf>
    <xf numFmtId="0" fontId="48" fillId="23" borderId="0" applyAlignment="1">
      <alignment vertical="center"/>
    </xf>
    <xf numFmtId="0" fontId="49" fillId="24" borderId="0" applyAlignment="1">
      <alignment vertical="center"/>
    </xf>
    <xf numFmtId="0" fontId="49" fillId="25" borderId="0" applyAlignment="1">
      <alignment vertical="center"/>
    </xf>
    <xf numFmtId="0" fontId="48" fillId="26" borderId="0" applyAlignment="1">
      <alignment vertical="center"/>
    </xf>
    <xf numFmtId="0" fontId="48" fillId="27" borderId="0" applyAlignment="1">
      <alignment vertical="center"/>
    </xf>
    <xf numFmtId="0" fontId="49" fillId="28" borderId="0" applyAlignment="1">
      <alignment vertical="center"/>
    </xf>
    <xf numFmtId="0" fontId="49" fillId="29" borderId="0" applyAlignment="1">
      <alignment vertical="center"/>
    </xf>
    <xf numFmtId="0" fontId="48" fillId="30" borderId="0" applyAlignment="1">
      <alignment vertical="center"/>
    </xf>
    <xf numFmtId="0" fontId="48" fillId="31" borderId="0" applyAlignment="1">
      <alignment vertical="center"/>
    </xf>
    <xf numFmtId="0" fontId="49" fillId="32" borderId="0" applyAlignment="1">
      <alignment vertical="center"/>
    </xf>
    <xf numFmtId="0" fontId="49" fillId="33" borderId="0" applyAlignment="1">
      <alignment vertical="center"/>
    </xf>
    <xf numFmtId="0" fontId="48" fillId="34" borderId="0" applyAlignment="1">
      <alignment vertical="center"/>
    </xf>
    <xf numFmtId="0" fontId="48" fillId="35" borderId="0" applyAlignment="1">
      <alignment vertical="center"/>
    </xf>
    <xf numFmtId="0" fontId="49" fillId="36" borderId="0" applyAlignment="1">
      <alignment vertical="center"/>
    </xf>
    <xf numFmtId="0" fontId="49" fillId="37" borderId="0" applyAlignment="1">
      <alignment vertical="center"/>
    </xf>
    <xf numFmtId="0" fontId="48" fillId="38" borderId="0" applyAlignment="1">
      <alignment vertical="center"/>
    </xf>
    <xf numFmtId="0" fontId="50" fillId="0" borderId="0"/>
    <xf numFmtId="41" fontId="51" fillId="0" borderId="0"/>
  </cellStyleXfs>
  <cellXfs count="9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49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2" borderId="0" applyAlignment="1" pivotButton="0" quotePrefix="0" xfId="24">
      <alignment horizontal="center" vertical="center" wrapText="1"/>
    </xf>
    <xf numFmtId="0" fontId="4" fillId="3" borderId="0" applyAlignment="1" pivotButton="0" quotePrefix="0" xfId="24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left" vertical="center"/>
    </xf>
    <xf numFmtId="0" fontId="7" fillId="0" borderId="0" applyAlignment="1" pivotButton="0" quotePrefix="0" xfId="6">
      <alignment horizontal="left"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6">
      <alignment vertical="center"/>
    </xf>
    <xf numFmtId="0" fontId="1" fillId="0" borderId="0" applyAlignment="1" pivotButton="0" quotePrefix="0" xfId="0">
      <alignment horizontal="center" vertical="center"/>
    </xf>
    <xf numFmtId="0" fontId="4" fillId="4" borderId="1" applyAlignment="1" pivotButton="0" quotePrefix="0" xfId="24">
      <alignment horizontal="center" vertical="center"/>
    </xf>
    <xf numFmtId="0" fontId="8" fillId="4" borderId="2" applyAlignment="1" pivotButton="0" quotePrefix="0" xfId="24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2" fillId="5" borderId="7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 readingOrder="1"/>
    </xf>
    <xf numFmtId="0" fontId="14" fillId="0" borderId="10" applyAlignment="1" pivotButton="0" quotePrefix="0" xfId="0">
      <alignment horizontal="left" vertical="center" wrapText="1" readingOrder="1"/>
    </xf>
    <xf numFmtId="0" fontId="15" fillId="0" borderId="8" applyAlignment="1" pivotButton="0" quotePrefix="0" xfId="49">
      <alignment horizontal="center" vertical="center" wrapText="1"/>
    </xf>
    <xf numFmtId="0" fontId="14" fillId="0" borderId="8" applyAlignment="1" pivotButton="0" quotePrefix="0" xfId="0">
      <alignment horizontal="left" vertical="center" wrapText="1" readingOrder="1"/>
    </xf>
    <xf numFmtId="164" fontId="16" fillId="6" borderId="6" applyAlignment="1" pivotButton="0" quotePrefix="0" xfId="0">
      <alignment horizontal="center" vertical="center" wrapText="1"/>
    </xf>
    <xf numFmtId="165" fontId="16" fillId="0" borderId="8" applyAlignment="1" pivotButton="0" quotePrefix="0" xfId="49">
      <alignment vertical="center"/>
    </xf>
    <xf numFmtId="165" fontId="16" fillId="0" borderId="6" applyAlignment="1" pivotButton="0" quotePrefix="0" xfId="49">
      <alignment vertical="center"/>
    </xf>
    <xf numFmtId="0" fontId="17" fillId="6" borderId="6" applyAlignment="1" pivotButton="0" quotePrefix="0" xfId="0">
      <alignment horizontal="center" vertical="center" wrapText="1"/>
    </xf>
    <xf numFmtId="0" fontId="16" fillId="6" borderId="11" applyAlignment="1" pivotButton="0" quotePrefix="0" xfId="49">
      <alignment horizontal="center" vertical="center"/>
    </xf>
    <xf numFmtId="0" fontId="16" fillId="0" borderId="11" applyAlignment="1" pivotButton="0" quotePrefix="0" xfId="0">
      <alignment horizontal="center" vertical="center" wrapText="1"/>
    </xf>
    <xf numFmtId="0" fontId="16" fillId="6" borderId="6" applyAlignment="1" pivotButton="0" quotePrefix="0" xfId="49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vertical="center" wrapText="1"/>
    </xf>
    <xf numFmtId="0" fontId="19" fillId="7" borderId="16" applyAlignment="1" pivotButton="0" quotePrefix="0" xfId="0">
      <alignment horizontal="center" vertical="center" wrapText="1"/>
    </xf>
    <xf numFmtId="166" fontId="20" fillId="0" borderId="17" applyAlignment="1" pivotButton="0" quotePrefix="0" xfId="0">
      <alignment horizontal="center" vertical="center"/>
    </xf>
    <xf numFmtId="0" fontId="21" fillId="5" borderId="18" applyAlignment="1" pivotButton="0" quotePrefix="0" xfId="24">
      <alignment vertical="center"/>
    </xf>
    <xf numFmtId="0" fontId="22" fillId="5" borderId="0" applyAlignment="1" pivotButton="0" quotePrefix="0" xfId="24">
      <alignment vertical="center"/>
    </xf>
    <xf numFmtId="0" fontId="23" fillId="5" borderId="0" applyAlignment="1" pivotButton="0" quotePrefix="0" xfId="24">
      <alignment horizontal="left" vertical="center" wrapText="1"/>
    </xf>
    <xf numFmtId="0" fontId="24" fillId="5" borderId="0" applyAlignment="1" pivotButton="0" quotePrefix="0" xfId="24">
      <alignment vertical="center"/>
    </xf>
    <xf numFmtId="0" fontId="25" fillId="5" borderId="0" applyAlignment="1" pivotButton="0" quotePrefix="0" xfId="24">
      <alignment vertical="center"/>
    </xf>
    <xf numFmtId="0" fontId="25" fillId="5" borderId="19" applyAlignment="1" pivotButton="0" quotePrefix="0" xfId="24">
      <alignment vertical="center"/>
    </xf>
    <xf numFmtId="0" fontId="26" fillId="5" borderId="18" applyAlignment="1" pivotButton="0" quotePrefix="0" xfId="24">
      <alignment vertical="top"/>
    </xf>
    <xf numFmtId="0" fontId="22" fillId="5" borderId="0" applyAlignment="1" pivotButton="0" quotePrefix="0" xfId="24">
      <alignment vertical="top"/>
    </xf>
    <xf numFmtId="0" fontId="24" fillId="5" borderId="0" applyAlignment="1" pivotButton="0" quotePrefix="0" xfId="24">
      <alignment horizontal="left" vertical="center" wrapText="1"/>
    </xf>
    <xf numFmtId="0" fontId="24" fillId="5" borderId="19" applyAlignment="1" pivotButton="0" quotePrefix="0" xfId="24">
      <alignment horizontal="left" vertical="center" wrapText="1"/>
    </xf>
    <xf numFmtId="0" fontId="27" fillId="5" borderId="18" applyAlignment="1" pivotButton="0" quotePrefix="0" xfId="24">
      <alignment horizontal="center" vertical="center"/>
    </xf>
    <xf numFmtId="0" fontId="22" fillId="5" borderId="0" applyAlignment="1" pivotButton="0" quotePrefix="0" xfId="24">
      <alignment horizontal="left" vertical="center"/>
    </xf>
    <xf numFmtId="0" fontId="22" fillId="5" borderId="0" applyAlignment="1" pivotButton="0" quotePrefix="0" xfId="24">
      <alignment vertical="center"/>
    </xf>
    <xf numFmtId="0" fontId="28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10" fillId="5" borderId="19" applyAlignment="1" pivotButton="0" quotePrefix="0" xfId="0">
      <alignment horizontal="left" vertical="center"/>
    </xf>
    <xf numFmtId="0" fontId="27" fillId="5" borderId="20" applyAlignment="1" pivotButton="0" quotePrefix="0" xfId="24">
      <alignment horizontal="center" vertical="center"/>
    </xf>
    <xf numFmtId="0" fontId="22" fillId="5" borderId="21" applyAlignment="1" pivotButton="0" quotePrefix="0" xfId="24">
      <alignment horizontal="left" vertical="center"/>
    </xf>
    <xf numFmtId="0" fontId="22" fillId="5" borderId="21" applyAlignment="1" pivotButton="0" quotePrefix="0" xfId="24">
      <alignment vertical="center"/>
    </xf>
    <xf numFmtId="0" fontId="29" fillId="5" borderId="21" applyAlignment="1" pivotButton="0" quotePrefix="0" xfId="24">
      <alignment horizontal="left" vertical="center" wrapText="1"/>
    </xf>
    <xf numFmtId="0" fontId="18" fillId="5" borderId="21" applyAlignment="1" pivotButton="0" quotePrefix="0" xfId="24">
      <alignment horizontal="left" vertical="center" wrapText="1"/>
    </xf>
    <xf numFmtId="0" fontId="18" fillId="5" borderId="22" applyAlignment="1" pivotButton="0" quotePrefix="0" xfId="24">
      <alignment horizontal="left" vertical="center" wrapText="1"/>
    </xf>
    <xf numFmtId="167" fontId="3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3" pivotButton="0" quotePrefix="0" xfId="0"/>
    <xf numFmtId="0" fontId="70" fillId="0" borderId="35" applyAlignment="1" pivotButton="0" quotePrefix="0" xfId="0">
      <alignment horizontal="center" vertical="center" wrapText="1"/>
    </xf>
    <xf numFmtId="0" fontId="71" fillId="0" borderId="35" applyAlignment="1" pivotButton="0" quotePrefix="0" xfId="0">
      <alignment horizontal="left" vertical="center" wrapText="1"/>
    </xf>
    <xf numFmtId="0" fontId="71" fillId="0" borderId="35" applyAlignment="1" pivotButton="0" quotePrefix="0" xfId="49">
      <alignment horizontal="left" vertical="center" wrapText="1"/>
    </xf>
    <xf numFmtId="0" fontId="0" fillId="0" borderId="35" pivotButton="0" quotePrefix="0" xfId="0"/>
    <xf numFmtId="3" fontId="70" fillId="6" borderId="35" applyAlignment="1" pivotButton="0" quotePrefix="0" xfId="0">
      <alignment horizontal="center" vertical="center" wrapText="1"/>
    </xf>
    <xf numFmtId="164" fontId="70" fillId="6" borderId="35" applyAlignment="1" pivotButton="0" quotePrefix="0" xfId="0">
      <alignment horizontal="center" vertical="center" wrapText="1"/>
    </xf>
    <xf numFmtId="3" fontId="70" fillId="0" borderId="35" applyAlignment="1" pivotButton="0" quotePrefix="0" xfId="49">
      <alignment horizontal="right" vertical="center"/>
    </xf>
    <xf numFmtId="3" fontId="70" fillId="0" borderId="35" applyAlignment="1" pivotButton="0" quotePrefix="0" xfId="0">
      <alignment horizontal="center" vertical="center" wrapText="1"/>
    </xf>
    <xf numFmtId="3" fontId="70" fillId="0" borderId="35" applyAlignment="1" pivotButton="0" quotePrefix="0" xfId="0">
      <alignment horizontal="right" vertical="center"/>
    </xf>
    <xf numFmtId="0" fontId="72" fillId="0" borderId="35" applyAlignment="1" pivotButton="0" quotePrefix="0" xfId="0">
      <alignment horizontal="center" vertical="center"/>
    </xf>
    <xf numFmtId="0" fontId="73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74" fillId="39" borderId="35" applyAlignment="1" pivotButton="0" quotePrefix="0" xfId="0">
      <alignment horizontal="center" vertical="center" wrapText="1"/>
    </xf>
    <xf numFmtId="172" fontId="75" fillId="0" borderId="35" applyAlignment="1" pivotButton="0" quotePrefix="0" xfId="0">
      <alignment horizontal="right" vertical="center"/>
    </xf>
    <xf numFmtId="0" fontId="76" fillId="5" borderId="18" applyAlignment="1" pivotButton="0" quotePrefix="0" xfId="24">
      <alignment vertical="center"/>
    </xf>
    <xf numFmtId="0" fontId="76" fillId="5" borderId="0" applyAlignment="1" pivotButton="0" quotePrefix="0" xfId="24">
      <alignment vertical="center"/>
    </xf>
    <xf numFmtId="0" fontId="77" fillId="5" borderId="18" applyAlignment="1" pivotButton="0" quotePrefix="0" xfId="24">
      <alignment vertical="top"/>
    </xf>
    <xf numFmtId="0" fontId="78" fillId="5" borderId="19" applyAlignment="1" pivotButton="0" quotePrefix="0" xfId="24">
      <alignment horizontal="left" vertical="center" wrapText="1"/>
    </xf>
    <xf numFmtId="0" fontId="0" fillId="0" borderId="19" pivotButton="0" quotePrefix="0" xfId="0"/>
    <xf numFmtId="0" fontId="78" fillId="5" borderId="19" applyAlignment="1" pivotButton="0" quotePrefix="0" xfId="0">
      <alignment horizontal="left" vertical="center" wrapText="1"/>
    </xf>
    <xf numFmtId="0" fontId="78" fillId="5" borderId="22" applyAlignment="1" pivotButton="0" quotePrefix="0" xfId="24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167" fontId="3" fillId="0" borderId="0" applyAlignment="1" pivotButton="0" quotePrefix="0" xfId="0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一般 2" xfId="49"/>
    <cellStyle name="千分位[0] 2" xfId="5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55420</colOff>
      <row>0</row>
      <rowOff>55418</rowOff>
    </from>
    <to>
      <col>1</col>
      <colOff>2071259</colOff>
      <row>6</row>
      <rowOff>166255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5245" y="55245"/>
          <a:ext cx="2594610" cy="1954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lucy@mail.cxtechnology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1:I23"/>
  <sheetViews>
    <sheetView tabSelected="1" topLeftCell="A8" zoomScale="55" zoomScaleNormal="55" workbookViewId="0">
      <selection activeCell="F13" sqref="F13"/>
    </sheetView>
  </sheetViews>
  <sheetFormatPr baseColWidth="8" defaultColWidth="9" defaultRowHeight="15"/>
  <cols>
    <col width="8.444444444444439" customWidth="1" style="3" min="1" max="1"/>
    <col width="33" customWidth="1" style="4" min="2" max="2"/>
    <col width="38.4444444444444" customWidth="1" style="3" min="3" max="3"/>
    <col width="33.3333333333333" customWidth="1" style="3" min="4" max="4"/>
    <col width="37.7777777777778" customWidth="1" style="3" min="5" max="5"/>
    <col width="16.2222222222222" customWidth="1" style="3" min="6" max="6"/>
    <col width="32.2222222222222" customWidth="1" style="3" min="7" max="7"/>
    <col width="20.7777777777778" customWidth="1" style="3" min="8" max="8"/>
    <col width="29.6666666666667" customWidth="1" style="3" min="9" max="9"/>
    <col width="9" customWidth="1" style="3" min="10" max="10"/>
    <col width="9" customWidth="1" style="3" min="11" max="16384"/>
  </cols>
  <sheetData>
    <row r="1" ht="25.2" customFormat="1" customHeight="1" s="1">
      <c r="B1" s="5" t="n"/>
      <c r="C1" s="6" t="inlineStr">
        <is>
          <t>Thông tin người bán 賣方資訊</t>
        </is>
      </c>
      <c r="F1" s="7" t="inlineStr">
        <is>
          <t>Thông tin người mua 買方資訊</t>
        </is>
      </c>
    </row>
    <row r="2" ht="17.4" customFormat="1" customHeight="1" s="1">
      <c r="B2" s="5" t="n"/>
      <c r="C2" s="8" t="inlineStr">
        <is>
          <t>Tên công ty 公司名稱：</t>
        </is>
      </c>
      <c r="D2" s="9" t="inlineStr">
        <is>
          <t>CÔNG TY TNHH TOÀN CẦU HONG MING</t>
        </is>
      </c>
      <c r="F2" s="10" t="inlineStr">
        <is>
          <t>Tên công ty 公司名稱：</t>
        </is>
      </c>
      <c r="H2" s="11" t="inlineStr">
        <is>
          <t>CÔNG TY CỔ PHẦN CX TECHNOLOGY (VN) (台灣精星科技(越南)有限公司)</t>
        </is>
      </c>
    </row>
    <row r="3" ht="19.2" customFormat="1" customHeight="1" s="1">
      <c r="B3" s="5" t="n"/>
      <c r="C3" s="8" t="inlineStr">
        <is>
          <t>Người liên lạc 聯絡人：</t>
        </is>
      </c>
      <c r="D3" s="9" t="inlineStr">
        <is>
          <t>張永吉 Jenson</t>
        </is>
      </c>
      <c r="F3" s="10" t="inlineStr">
        <is>
          <t>Người liên lạc 聯絡人：</t>
        </is>
      </c>
      <c r="H3" s="11" t="inlineStr">
        <is>
          <t>張永吉 Jenson / 阮金銀</t>
        </is>
      </c>
    </row>
    <row r="4" ht="17.4" customFormat="1" customHeight="1" s="1">
      <c r="B4" s="5" t="n"/>
      <c r="C4" s="8" t="inlineStr">
        <is>
          <t>Điện thoại 聯絡電話：</t>
        </is>
      </c>
      <c r="D4" s="12" t="inlineStr">
        <is>
          <t>+84966687109, +8663-3392057</t>
        </is>
      </c>
      <c r="F4" s="10" t="inlineStr">
        <is>
          <t>Điện thoại 聯絡電話：</t>
        </is>
      </c>
      <c r="H4" s="12" t="inlineStr">
        <is>
          <t>+84-28-3770-1025~26 Ext: 226</t>
        </is>
      </c>
    </row>
    <row r="5" ht="17.4" customFormat="1" customHeight="1" s="1">
      <c r="B5" s="5" t="n"/>
      <c r="C5" s="8" t="inlineStr">
        <is>
          <t>Fax 傳真電話：</t>
        </is>
      </c>
      <c r="D5" s="9" t="n"/>
      <c r="F5" s="10" t="inlineStr">
        <is>
          <t>Fax 傳真電話：</t>
        </is>
      </c>
      <c r="H5" s="13" t="n"/>
    </row>
    <row r="6" ht="48.6" customFormat="1" customHeight="1" s="1">
      <c r="B6" s="5" t="n"/>
      <c r="C6" s="8" t="inlineStr">
        <is>
          <t>Địa chỉ 聯絡地址：</t>
        </is>
      </c>
      <c r="D6" s="14" t="inlineStr">
        <is>
          <t>Lầu 2, số 68 Nguyễn Huệ, Phường Sài Gòn, TP Hồ Chí Minh, Việt Nam</t>
        </is>
      </c>
      <c r="F6" s="10" t="inlineStr">
        <is>
          <t>Địa chỉ 聯絡地址：</t>
        </is>
      </c>
      <c r="H6" s="15" t="inlineStr">
        <is>
          <t>KCX Tân Thuận, Quận 7, TP.HCM</t>
        </is>
      </c>
    </row>
    <row r="7" ht="17.4" customFormat="1" customHeight="1" s="1">
      <c r="B7" s="5" t="n"/>
      <c r="C7" s="8" t="inlineStr">
        <is>
          <t>E-mail電子郵件：</t>
        </is>
      </c>
      <c r="D7" s="16" t="inlineStr">
        <is>
          <t>sales@hongming-global.com</t>
        </is>
      </c>
      <c r="F7" s="10" t="inlineStr">
        <is>
          <t>E-mail電子郵件：</t>
        </is>
      </c>
      <c r="H7" s="13" t="inlineStr">
        <is>
          <t>pur02_vn@mail.cxtechnology.com</t>
        </is>
      </c>
    </row>
    <row r="8" ht="15.75" customFormat="1" customHeight="1" s="1">
      <c r="B8" s="17" t="n"/>
      <c r="G8" s="17" t="n"/>
      <c r="H8" s="17" t="n"/>
      <c r="I8" s="17" t="n"/>
    </row>
    <row r="9" ht="15.6" customFormat="1" customHeight="1" s="1">
      <c r="A9" s="18" t="inlineStr">
        <is>
          <t>BÁO GIÁ DỊCH VỤ SỬA CHỮA &amp; THAY THẾ LINH KIỆN THIẾT BỊ ĐỌC THẺ RFID RFR900 / 報價單</t>
        </is>
      </c>
      <c r="B9" s="72" t="n"/>
      <c r="C9" s="72" t="n"/>
      <c r="D9" s="72" t="n"/>
      <c r="E9" s="72" t="n"/>
      <c r="F9" s="72" t="n"/>
      <c r="G9" s="72" t="n"/>
      <c r="H9" s="72" t="n"/>
      <c r="I9" s="72" t="n"/>
    </row>
    <row r="10" ht="24" customHeight="1">
      <c r="A10" s="20" t="inlineStr">
        <is>
          <t>Ngày báo giá報價日期：25/09/2026</t>
        </is>
      </c>
      <c r="B10" s="21" t="n"/>
      <c r="C10" s="22" t="n"/>
      <c r="D10" s="22" t="n"/>
      <c r="E10" s="22" t="n"/>
      <c r="F10" s="23" t="n"/>
      <c r="G10" s="23" t="n"/>
      <c r="H10" s="23" t="n"/>
      <c r="I10" s="24" t="n"/>
    </row>
    <row r="11" ht="63" customHeight="1">
      <c r="A11" s="25" t="inlineStr">
        <is>
          <t>STT</t>
        </is>
      </c>
      <c r="B11" s="26" t="inlineStr">
        <is>
          <t>Tên Sản Phẩm
產品名稱</t>
        </is>
      </c>
      <c r="C11" s="27" t="inlineStr">
        <is>
          <t>Hạng Mục 
項目類別</t>
        </is>
      </c>
      <c r="D11" s="73" t="n"/>
      <c r="E11" s="28" t="inlineStr">
        <is>
          <t xml:space="preserve">Nội Dung Sản Phẩm
產品內容 </t>
        </is>
      </c>
      <c r="F11" s="29" t="inlineStr">
        <is>
          <t>Số lượng
數量</t>
        </is>
      </c>
      <c r="G11" s="29" t="inlineStr">
        <is>
          <t>Thời gian hoàn thành
 完成時間</t>
        </is>
      </c>
      <c r="H11" s="29" t="inlineStr">
        <is>
          <t>Đơn Giá  
單價</t>
        </is>
      </c>
      <c r="I11" s="29" t="inlineStr">
        <is>
          <t>Tổng Giá 
總價</t>
        </is>
      </c>
    </row>
    <row r="12" ht="48" customFormat="1" customHeight="1" s="2">
      <c r="A12" s="74" t="n">
        <v>1</v>
      </c>
      <c r="B12" s="75" t="inlineStr">
        <is>
          <t>Sửa chữa đầu đọc thẻ RFID Bluebird RFR900
Bluebird RFR900 RFID 讀卡機維修服務</t>
        </is>
      </c>
      <c r="C12" s="76" t="inlineStr">
        <is>
          <t>Sửa lỗi mất kết nối Bluetooth, treo mainboard và thay thế IC sạc</t>
        </is>
      </c>
      <c r="D12" s="77" t="n"/>
      <c r="E12" s="75" t="inlineStr">
        <is>
          <t>Model: RFR900 (Serial: RFR900-VN-2024)</t>
        </is>
      </c>
      <c r="F12" s="78" t="n">
        <v>2</v>
      </c>
      <c r="G12" s="79" t="inlineStr">
        <is>
          <t>7-10 ngày</t>
        </is>
      </c>
      <c r="H12" s="80" t="n">
        <v>4500000</v>
      </c>
      <c r="I12" s="80">
        <f>H12*F12</f>
        <v/>
      </c>
    </row>
    <row r="13" ht="48" customFormat="1" customHeight="1" s="2">
      <c r="A13" s="74" t="n">
        <v>2</v>
      </c>
      <c r="B13" s="75" t="inlineStr">
        <is>
          <t>Pin thay thế dung lượng cao cho RFR900
原廠高容量鋰電池 (RFR900專用)</t>
        </is>
      </c>
      <c r="C13" s="75" t="inlineStr">
        <is>
          <t>Pin Li-ion chính hãng 3.7V 3000mAh cho Bluebird RFR900</t>
        </is>
      </c>
      <c r="D13" s="77" t="n"/>
      <c r="E13" s="75" t="inlineStr">
        <is>
          <t>BTR-RFR900-3000mAh</t>
        </is>
      </c>
      <c r="F13" s="81" t="n">
        <v>2</v>
      </c>
      <c r="G13" s="74" t="inlineStr">
        <is>
          <t>Có sẵn</t>
        </is>
      </c>
      <c r="H13" s="82" t="n">
        <v>1850000</v>
      </c>
      <c r="I13" s="82">
        <f>H13*F13</f>
        <v/>
      </c>
    </row>
    <row r="14" ht="48" customHeight="1">
      <c r="A14" s="74" t="n">
        <v>3</v>
      </c>
      <c r="B14" s="75" t="inlineStr">
        <is>
          <t>Phí kiểm định &amp; Hiệu chuẩn độ nhạy anten RFID
RFID 天線讀取效能校準與現場測試</t>
        </is>
      </c>
      <c r="C14" s="75" t="inlineStr">
        <is>
          <t>Đo kiểm khoảng cách đọc thẻ, tối ưu công suất phát UHF</t>
        </is>
      </c>
      <c r="D14" s="77" t="n"/>
      <c r="E14" s="75" t="inlineStr">
        <is>
          <t>Kiểm tra thực tế với thẻ RFID silicon tại chuyền sản xuất</t>
        </is>
      </c>
      <c r="F14" s="81" t="n">
        <v>1</v>
      </c>
      <c r="G14" s="74" t="inlineStr">
        <is>
          <t>3 ngày</t>
        </is>
      </c>
      <c r="H14" s="82" t="n">
        <v>1000000</v>
      </c>
      <c r="I14" s="82">
        <f>H14*F14</f>
        <v/>
      </c>
    </row>
    <row r="15" ht="24.6" customHeight="1">
      <c r="A15" s="83" t="inlineStr">
        <is>
          <t>以下空白 Chỗ trống sau đây</t>
        </is>
      </c>
      <c r="B15" s="77" t="n"/>
      <c r="C15" s="77" t="n"/>
      <c r="D15" s="77" t="n"/>
      <c r="E15" s="77" t="n"/>
      <c r="F15" s="77" t="n"/>
      <c r="G15" s="77" t="n"/>
      <c r="H15" s="77" t="n"/>
      <c r="I15" s="77" t="n"/>
    </row>
    <row r="16" ht="32" customHeight="1">
      <c r="A16" s="84" t="inlineStr">
        <is>
          <t>此致
         CÔNG TY CỔ PHẦN CX TECHNOLOGY (VN) (台灣精星科技(越南)有限公司)</t>
        </is>
      </c>
      <c r="B16" s="85" t="n"/>
      <c r="C16" s="46" t="n"/>
      <c r="D16" s="46" t="n"/>
      <c r="E16" s="46" t="n"/>
      <c r="F16" s="46" t="n"/>
      <c r="G16" s="46" t="n"/>
      <c r="H16" s="86" t="inlineStr">
        <is>
          <t>TỔNG THÀNH TIỀN 
總價</t>
        </is>
      </c>
      <c r="I16" s="87">
        <f>SUM(I12:I14)</f>
        <v/>
      </c>
    </row>
    <row r="17" ht="58.2" customHeight="1">
      <c r="A17" s="88" t="inlineStr">
        <is>
          <t>※客戶確認 Xác nhận khách hàng</t>
        </is>
      </c>
      <c r="B17" s="61" t="n"/>
      <c r="C17" s="51" t="n"/>
      <c r="D17" s="51" t="n"/>
      <c r="E17" s="89" t="inlineStr">
        <is>
          <t>◆ 報價特別聲明 Tuyên bố đặc biệt của báo giá :</t>
        </is>
      </c>
      <c r="F17" s="53" t="n"/>
      <c r="G17" s="53" t="n"/>
      <c r="H17" s="53" t="n"/>
      <c r="I17" s="54" t="n"/>
    </row>
    <row r="18" ht="58.2" customHeight="1">
      <c r="A18" s="90" t="inlineStr">
        <is>
          <t>(請簽名用印 Vui lòng ký tên và đóng dấu)</t>
        </is>
      </c>
      <c r="B18" s="56" t="n"/>
      <c r="C18" s="51" t="n"/>
      <c r="D18" s="51" t="n"/>
      <c r="E18" s="91" t="inlineStr">
        <is>
          <t>1. 以上報價交期：自收到付款之日起07-10 ngày làm việc。
Ngày giao hàng theo báo giá trên: Trong vòng 07-10 ngày làm việc kể từ ngày nhận được thanh toán.</t>
        </is>
      </c>
      <c r="I18" s="92" t="n"/>
    </row>
    <row r="19" ht="58.2" customHeight="1">
      <c r="A19" s="59" t="n"/>
      <c r="B19" s="60" t="n"/>
      <c r="C19" s="61" t="n"/>
      <c r="D19" s="61" t="n"/>
      <c r="E19" s="91" t="inlineStr">
        <is>
          <t>2. 報價有效期限：15 ngày kể từ ngày phát hành，報價簽回視同專案確認，不可任意終止、取消本專案。
    Thời hạn hiệu lực của báo giá: 15 ngày kể từ ngày phát hành. Báo giá đã ký được coi là xác nhận của dự án.</t>
        </is>
      </c>
      <c r="I19" s="92" t="n"/>
    </row>
    <row r="20" ht="58.2" customHeight="1">
      <c r="A20" s="59" t="n"/>
      <c r="B20" s="60" t="n"/>
      <c r="C20" s="61" t="n"/>
      <c r="D20" s="61" t="n"/>
      <c r="E20" s="91" t="inlineStr">
        <is>
          <t>3. 上述報價中的硬體設備自交貨日起保固03 tháng cho linh kiện thay thế；因人為因素造成之碰撞、破裂、損壞等情況，不在保固範圍內
  Thiết bị phần cứng trong báo giá trên được bảo hành 03 tháng cho linh kiện thay thế kể từ ngày giao hàng; các hư hỏng do va chạm, vỡ, gãy do con người gây ra không nằm trong phạm vi bảo hành.</t>
        </is>
      </c>
      <c r="I20" s="92" t="n"/>
    </row>
    <row r="21" ht="316" customHeight="1">
      <c r="A21" s="59" t="n"/>
      <c r="B21" s="60" t="n"/>
      <c r="C21" s="61" t="n"/>
      <c r="D21" s="61" t="n"/>
      <c r="E21" s="93" t="inlineStr">
        <is>
          <t>4. 以上報價不含增值稅 VAT，稅率則按當時發票開出時之規定。
Giá trên chưa bao gồm VAT. Thuế suất sẽ áp dụng theo quy định tại thời điểm xuất hóa đơn.</t>
        </is>
      </c>
      <c r="I21" s="92" t="n"/>
    </row>
    <row r="22">
      <c r="A22" s="65" t="n"/>
      <c r="B22" s="66" t="n"/>
      <c r="C22" s="67" t="n"/>
      <c r="D22" s="67" t="n"/>
      <c r="E22" s="94" t="inlineStr">
        <is>
          <t>5. 付款方式及驗收條件 / Điều kiện thanh toán &amp; nghiệm thu:
• Thanh toán 100% sau khi nhận hàng và nghiệm thu đạt trong vòng 10 ngày.
• Ghi chú bổ sung / 備註: Đã kiểm tra bo mạch và pin. Khách hàng cung cấp thiết bị tại KCX Tân Thuận.</t>
        </is>
      </c>
      <c r="F22" s="95" t="n"/>
      <c r="G22" s="95" t="n"/>
      <c r="H22" s="95" t="n"/>
      <c r="I22" s="96" t="n"/>
    </row>
    <row r="23">
      <c r="I23" s="97" t="n"/>
    </row>
  </sheetData>
  <mergeCells count="27">
    <mergeCell ref="F4:G4"/>
    <mergeCell ref="C1:E1"/>
    <mergeCell ref="E21:I21"/>
    <mergeCell ref="C14:D14"/>
    <mergeCell ref="F6:G6"/>
    <mergeCell ref="H4:I4"/>
    <mergeCell ref="F7:G7"/>
    <mergeCell ref="F3:G3"/>
    <mergeCell ref="A16:B16"/>
    <mergeCell ref="F1:I1"/>
    <mergeCell ref="H6:I6"/>
    <mergeCell ref="E20:I20"/>
    <mergeCell ref="F5:G5"/>
    <mergeCell ref="E19:I19"/>
    <mergeCell ref="B8:F8"/>
    <mergeCell ref="F2:G2"/>
    <mergeCell ref="C12:D12"/>
    <mergeCell ref="H2:I2"/>
    <mergeCell ref="H7:I7"/>
    <mergeCell ref="C11:D11"/>
    <mergeCell ref="A9:I9"/>
    <mergeCell ref="H3:I3"/>
    <mergeCell ref="A15:I15"/>
    <mergeCell ref="H5:I5"/>
    <mergeCell ref="C13:D13"/>
    <mergeCell ref="E22:I22"/>
    <mergeCell ref="E18:I18"/>
  </mergeCells>
  <hyperlinks>
    <hyperlink xmlns:r="http://schemas.openxmlformats.org/officeDocument/2006/relationships" ref="H7" display="pur02_vn@mail.cxtechnology.com" r:id="rId1"/>
  </hyperlinks>
  <printOptions horizontalCentered="1"/>
  <pageMargins left="0.3" right="0.3" top="0.3" bottom="0.3" header="0" footer="0"/>
  <pageSetup orientation="portrait" paperSize="9" scale="39" horizontalDpi="30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HM-Jenson</dc:creator>
  <dcterms:created xmlns:dcterms="http://purl.org/dc/terms/" xmlns:xsi="http://www.w3.org/2001/XMLSchema-instance" xsi:type="dcterms:W3CDTF">2004-05-25T02:02:00Z</dcterms:created>
  <dcterms:modified xmlns:dcterms="http://purl.org/dc/terms/" xmlns:xsi="http://www.w3.org/2001/XMLSchema-instance" xsi:type="dcterms:W3CDTF">2026-10-27T03:59:20Z</dcterms:modified>
  <cp:lastModifiedBy>HM-Sales01</cp:lastModifiedBy>
  <cp:lastPrinted>2026-09-21T03:19:00Z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ICV" fmtid="{D5CDD505-2E9C-101B-9397-08002B2CF9AE}" pid="3">
    <vt:lpwstr xmlns:vt="http://schemas.openxmlformats.org/officeDocument/2006/docPropsVTypes">734840E28C6B4E4C85E7785A17299D55_12</vt:lpwstr>
  </property>
  <property name="CalculationRule" fmtid="{D5CDD505-2E9C-101B-9397-08002B2CF9AE}" pid="4">
    <vt:i4 xmlns:vt="http://schemas.openxmlformats.org/officeDocument/2006/docPropsVTypes">0</vt:i4>
  </property>
</Properties>
</file>