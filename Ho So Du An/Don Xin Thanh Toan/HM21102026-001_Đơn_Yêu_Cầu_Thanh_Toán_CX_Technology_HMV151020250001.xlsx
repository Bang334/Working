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166925"/>
  <mc:AlternateContent xmlns:mc="http://schemas.openxmlformats.org/markup-compatibility/2006">
    <mc:Choice Requires="x15">
      <x15ac:absPath xmlns:x15ac="http://schemas.microsoft.com/office/spreadsheetml/2010/11/ac" url="E:\Working\Ho So Du An\Don Xin Thanh Toan\"/>
    </mc:Choice>
  </mc:AlternateContent>
  <xr:revisionPtr revIDLastSave="0" documentId="13_ncr:1_{741CF455-2EAC-49CD-91FA-5918D9EA74D5}" xr6:coauthVersionLast="47" xr6:coauthVersionMax="47" xr10:uidLastSave="{00000000-0000-0000-0000-000000000000}"/>
  <bookViews>
    <workbookView xWindow="-108" yWindow="-108" windowWidth="23256" windowHeight="13176" xr2:uid="{00000000-000D-0000-FFFF-FFFF00000000}"/>
  </bookViews>
  <sheets>
    <sheet name="CX_請款單" sheetId="1" r:id="rId1"/>
  </sheets>
  <definedNames>
    <definedName name="_xlnm.Print_Area" localSheetId="0">CX_請款單!$A$1:$I$27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18" i="1" l="1"/>
  <c r="F17" i="1"/>
  <c r="F16" i="1"/>
  <c r="F15" i="1"/>
  <c r="H18" i="1" l="1"/>
  <c r="I18" i="1"/>
  <c r="H17" i="1"/>
  <c r="I17" i="1" s="1"/>
  <c r="H16" i="1"/>
  <c r="I16" i="1" s="1"/>
  <c r="H15" i="1"/>
  <c r="I15" i="1" s="1"/>
  <c r="F19" i="1" s="1"/>
</calcChain>
</file>

<file path=xl/sharedStrings.xml><?xml version="1.0" encoding="utf-8"?>
<sst xmlns="http://schemas.openxmlformats.org/spreadsheetml/2006/main" count="39" uniqueCount="38">
  <si>
    <t>浤 詺 資 訊 責 任 有 限 公 司</t>
  </si>
  <si>
    <t>CÔNG TY TNHH TOÀN CẦU HONG MING</t>
  </si>
  <si>
    <t>請 款 單</t>
  </si>
  <si>
    <t>Phiếu yêu cầu thanh toán</t>
  </si>
  <si>
    <t>CÔNG TY TNHH TOÀN CẦU HONG MING 致敬：</t>
  </si>
  <si>
    <t>Form NO.</t>
  </si>
  <si>
    <t>HM21102026-001</t>
  </si>
  <si>
    <t>客 戶 名 稱：
Tên khách hàng：</t>
  </si>
  <si>
    <t>CÔNG TY CỔ PHẦN CX TECHNOLOGY (VN)</t>
  </si>
  <si>
    <t>申 請 日 期：
Ngày nộp đơn：</t>
  </si>
  <si>
    <t>21/10/2026</t>
  </si>
  <si>
    <t>專 案 名 稱：
Tên dự án：</t>
  </si>
  <si>
    <t>Căn cứ hợp đồng số : HMV151020250001 ký ngày 09/12/2025
RFID 硬體 (RFID Hardware) – Phần mềm tùy chỉnh chức năng hệ thống RFID
根据合同编号：HMV151020250001 簽約日期：2025年12月09日
RFID硬體（RFID Hardware）－RFID系統客製化軟體</t>
  </si>
  <si>
    <t>應 付 款 日 期：
Ngày đến hạn thanh toán:</t>
  </si>
  <si>
    <t>31/10/2026</t>
  </si>
  <si>
    <t>付 款 方 式：
Phương thức thanh toán：</t>
  </si>
  <si>
    <t>匯款
Chuyển khoản</t>
  </si>
  <si>
    <t>項
STT</t>
  </si>
  <si>
    <t>請款項目
Hạng mục thanh toán</t>
  </si>
  <si>
    <t>幣別
Tiền tệ</t>
  </si>
  <si>
    <t>單價 
Đơn giá</t>
  </si>
  <si>
    <t>數量 
Số lượng</t>
  </si>
  <si>
    <t>合同金額
Số tiền hợp đồng</t>
  </si>
  <si>
    <t>稅率
Thuế suất</t>
  </si>
  <si>
    <t>稅額 VAT</t>
  </si>
  <si>
    <t>請款金額
Số tiền xin TT</t>
  </si>
  <si>
    <t>驗收合格尾款：20%
合約：HMV151020250001（RFID 系統功能客製化軟體）
Thanh toán đợt Giai đoạn 3 (20% Nghiệm thu đạt tiêu chuẩn theo Biên bản nghiệm thu)</t>
  </si>
  <si>
    <t>VND</t>
  </si>
  <si>
    <t>合計 Tổng cộng</t>
  </si>
  <si>
    <t xml:space="preserve">備註：Căn cứ Mục A – Phương thức thanh toán của Hợp đồng số HMV151020250001:
1. Sau khi ký kết hợp đồng: thanh toán 40% giá trị hợp đồng = 93.600.000 VNĐ (Chín mươi ba triệu sáu trăm nghìn đồng).
1. 簽約完成時：支付合約金額40%＝93,600,000越盾（玖仟參佰陸拾萬越盾整）。
2. Sau khi triển khai sản phẩm đưa vào sử dụng: thanh toán 40% giá trị hợp đồng = 93.600.000 VNĐ (Chín mươi ba triệu sáu trăm nghìn đồng).
2. 產品安裝後：支付合約金額40%＝93,600,000越盾（玖仟參佰陸拾萬越盾整）。
3. Khi nghiệm thu đạt tiêu chuẩn: thanh toán 20% còn lại = 46.800.000 VNĐ (Bốn mươi sáu triệu tám trăm nghìn đồng).
3. 驗收合格時：支付尾款20%＝46,800,000越盾（肆仟陸佰捌拾萬越盾整）。
**以上價格不包含VAT增值稅，稅率依發票開立時的稅率為準。Giá nêu trên chưa bao gồm thuế GTGT (VAT). Thuế suất áp dụng theo mức thuế suất tại thời điểm xuất hóa đơn.
</t>
  </si>
  <si>
    <t xml:space="preserve"> </t>
  </si>
  <si>
    <t>銀行帳戶名稱</t>
  </si>
  <si>
    <t>銀行帳號</t>
  </si>
  <si>
    <t>604080006546(VND)</t>
  </si>
  <si>
    <t>銀行名稱</t>
  </si>
  <si>
    <t>CATHAY UNITED BANK – HO CHI MINH CITY BRANCH</t>
  </si>
  <si>
    <t>買方主管</t>
  </si>
  <si>
    <t>申請單位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</si>
</sst>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_-&quot;$&quot;* #,##0_-;\-&quot;$&quot;* #,##0_-;_-&quot;$&quot;* &quot;-&quot;??_-;_-@_-"/>
    <numFmt numFmtId="165" formatCode="m&quot;月&quot;d&quot;日&quot;"/>
    <numFmt numFmtId="166" formatCode="_-&quot;$&quot;* #,##0.00_-;\-&quot;$&quot;* #,##0.00_-;_-&quot;$&quot;* &quot;-&quot;??_-;_-@_-"/>
    <numFmt numFmtId="167" formatCode="0\ &quot;SET&quot;"/>
    <numFmt numFmtId="168" formatCode="[$VND]\ #,##0_);\([$VND]\ #,##0\)"/>
    <numFmt numFmtId="169" formatCode="_-&quot;$&quot;* #,##0.0_-;\-&quot;$&quot;* #,##0.0_-;_-&quot;$&quot;* &quot;-&quot;?_-;_-@_-"/>
  </numFmts>
  <fonts count="28">
    <font>
      <sz val="12"/>
      <color theme="1"/>
      <name val="Calibri"/>
      <family val="2"/>
      <charset val="136"/>
      <scheme val="minor"/>
    </font>
    <font>
      <sz val="12"/>
      <color theme="1"/>
      <name val="Calibri"/>
      <family val="2"/>
      <charset val="136"/>
      <scheme val="minor"/>
    </font>
    <font>
      <b/>
      <sz val="12"/>
      <color theme="1"/>
      <name val="微軟正黑體"/>
      <family val="2"/>
      <charset val="136"/>
    </font>
    <font>
      <sz val="12"/>
      <color theme="1"/>
      <name val="微軟正黑體"/>
      <family val="2"/>
      <charset val="136"/>
    </font>
    <font>
      <b/>
      <sz val="24"/>
      <name val="微軟正黑體"/>
      <family val="2"/>
      <charset val="136"/>
    </font>
    <font>
      <b/>
      <sz val="18"/>
      <name val="Times New Roman"/>
      <family val="1"/>
    </font>
    <font>
      <sz val="12"/>
      <color rgb="FFC00000"/>
      <name val="微軟正黑體"/>
      <family val="2"/>
      <charset val="136"/>
    </font>
    <font>
      <sz val="12"/>
      <name val="微軟正黑體"/>
      <family val="2"/>
      <charset val="136"/>
    </font>
    <font>
      <b/>
      <sz val="18"/>
      <name val="細明體"/>
      <family val="1"/>
      <charset val="136"/>
    </font>
    <font>
      <b/>
      <sz val="16"/>
      <name val="Arial"/>
      <family val="2"/>
    </font>
    <font>
      <b/>
      <sz val="14"/>
      <name val="Arial"/>
      <family val="2"/>
    </font>
    <font>
      <b/>
      <sz val="12"/>
      <name val="Microsoft YaHei"/>
      <family val="2"/>
      <charset val="134"/>
    </font>
    <font>
      <sz val="14"/>
      <name val="Microsoft YaHei"/>
      <family val="2"/>
      <charset val="134"/>
    </font>
    <font>
      <b/>
      <sz val="18"/>
      <name val="Arial"/>
      <family val="2"/>
    </font>
    <font>
      <b/>
      <u/>
      <sz val="24"/>
      <name val="Microsoft YaHei"/>
      <family val="2"/>
      <charset val="134"/>
    </font>
    <font>
      <sz val="14"/>
      <name val="Times New Roman"/>
      <family val="1"/>
    </font>
    <font>
      <sz val="18"/>
      <color theme="1"/>
      <name val="微軟正黑體"/>
      <family val="2"/>
      <charset val="136"/>
    </font>
    <font>
      <b/>
      <sz val="12"/>
      <name val="Arial"/>
      <family val="2"/>
    </font>
    <font>
      <sz val="12"/>
      <name val="Arial"/>
      <family val="2"/>
    </font>
    <font>
      <b/>
      <sz val="16"/>
      <color theme="1"/>
      <name val="微軟正黑體"/>
      <family val="2"/>
      <charset val="136"/>
    </font>
    <font>
      <b/>
      <sz val="14"/>
      <color theme="1"/>
      <name val="微軟正黑體"/>
      <family val="2"/>
      <charset val="136"/>
    </font>
    <font>
      <b/>
      <sz val="14"/>
      <name val="微軟正黑體"/>
      <family val="2"/>
      <charset val="136"/>
    </font>
    <font>
      <sz val="14"/>
      <color theme="1"/>
      <name val="微軟正黑體"/>
      <family val="2"/>
      <charset val="136"/>
    </font>
    <font>
      <sz val="16"/>
      <name val="Calibri"/>
      <family val="2"/>
      <charset val="163"/>
    </font>
    <font>
      <sz val="12"/>
      <name val="Calibri"/>
      <family val="2"/>
      <charset val="163"/>
    </font>
    <font>
      <b/>
      <sz val="12"/>
      <color theme="1"/>
      <name val="微軟正黑體"/>
      <family val="2"/>
      <charset val="134"/>
    </font>
    <font>
      <b/>
      <sz val="14"/>
      <name val="Microsoft YaHei"/>
      <family val="2"/>
      <charset val="134"/>
    </font>
    <font>
      <sz val="14"/>
      <color theme="1"/>
      <name val="Calibri"/>
      <family val="2"/>
      <charset val="136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2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</borders>
  <cellStyleXfs count="3">
    <xf numFmtId="0" fontId="0" fillId="0" borderId="0">
      <alignment vertical="center"/>
    </xf>
    <xf numFmtId="166" fontId="1" fillId="0" borderId="0">
      <alignment vertical="center"/>
    </xf>
    <xf numFmtId="9" fontId="1" fillId="0" borderId="0">
      <alignment vertical="center"/>
    </xf>
  </cellStyleXfs>
  <cellXfs count="80">
    <xf numFmtId="0" fontId="0" fillId="0" borderId="0" xfId="0">
      <alignment vertical="center"/>
    </xf>
    <xf numFmtId="0" fontId="0" fillId="0" borderId="0" xfId="0" applyAlignment="1">
      <alignment horizontal="center" vertical="center"/>
    </xf>
    <xf numFmtId="0" fontId="3" fillId="0" borderId="0" xfId="0" applyFont="1">
      <alignment vertical="center"/>
    </xf>
    <xf numFmtId="164" fontId="3" fillId="0" borderId="0" xfId="1" applyNumberFormat="1" applyFont="1">
      <alignment vertical="center"/>
    </xf>
    <xf numFmtId="0" fontId="3" fillId="0" borderId="0" xfId="0" applyFont="1" applyAlignment="1">
      <alignment horizontal="center" vertical="center"/>
    </xf>
    <xf numFmtId="165" fontId="0" fillId="0" borderId="0" xfId="0" applyNumberFormat="1">
      <alignment vertical="center"/>
    </xf>
    <xf numFmtId="0" fontId="6" fillId="0" borderId="0" xfId="0" applyFont="1">
      <alignment vertical="center"/>
    </xf>
    <xf numFmtId="0" fontId="6" fillId="0" borderId="0" xfId="0" applyFont="1" applyAlignment="1">
      <alignment horizontal="center" vertical="center"/>
    </xf>
    <xf numFmtId="164" fontId="7" fillId="0" borderId="1" xfId="1" applyNumberFormat="1" applyFont="1" applyBorder="1">
      <alignment vertical="center"/>
    </xf>
    <xf numFmtId="0" fontId="5" fillId="0" borderId="0" xfId="0" applyFont="1" applyAlignment="1">
      <alignment horizontal="center" vertical="center"/>
    </xf>
    <xf numFmtId="0" fontId="10" fillId="0" borderId="0" xfId="0" applyFont="1" applyAlignment="1">
      <alignment horizontal="center" vertical="center"/>
    </xf>
    <xf numFmtId="0" fontId="5" fillId="0" borderId="0" xfId="0" applyFont="1" applyAlignment="1">
      <alignment horizontal="left" vertical="center"/>
    </xf>
    <xf numFmtId="49" fontId="10" fillId="0" borderId="0" xfId="0" applyNumberFormat="1" applyFont="1" applyAlignment="1">
      <alignment horizontal="center" vertical="center"/>
    </xf>
    <xf numFmtId="49" fontId="5" fillId="0" borderId="0" xfId="0" applyNumberFormat="1" applyFont="1" applyAlignment="1">
      <alignment horizontal="center" vertical="center"/>
    </xf>
    <xf numFmtId="49" fontId="8" fillId="0" borderId="0" xfId="0" applyNumberFormat="1" applyFont="1" applyAlignment="1">
      <alignment horizontal="left" vertical="center"/>
    </xf>
    <xf numFmtId="49" fontId="7" fillId="0" borderId="1" xfId="0" applyNumberFormat="1" applyFont="1" applyBorder="1" applyAlignment="1">
      <alignment horizontal="center" vertical="center"/>
    </xf>
    <xf numFmtId="49" fontId="3" fillId="0" borderId="0" xfId="0" applyNumberFormat="1" applyFont="1" applyAlignment="1">
      <alignment horizontal="center" vertical="center"/>
    </xf>
    <xf numFmtId="49" fontId="6" fillId="0" borderId="0" xfId="0" applyNumberFormat="1" applyFont="1" applyAlignment="1">
      <alignment horizontal="center" vertical="center"/>
    </xf>
    <xf numFmtId="49" fontId="0" fillId="0" borderId="0" xfId="0" applyNumberFormat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3" fillId="0" borderId="5" xfId="0" applyFont="1" applyBorder="1" applyAlignment="1">
      <alignment horizontal="center" vertical="center"/>
    </xf>
    <xf numFmtId="0" fontId="2" fillId="2" borderId="3" xfId="0" applyFont="1" applyFill="1" applyBorder="1" applyAlignment="1">
      <alignment horizontal="center" vertical="center" wrapText="1"/>
    </xf>
    <xf numFmtId="164" fontId="7" fillId="0" borderId="1" xfId="1" applyNumberFormat="1" applyFont="1" applyBorder="1" applyAlignment="1">
      <alignment vertical="center" wrapText="1"/>
    </xf>
    <xf numFmtId="166" fontId="0" fillId="0" borderId="0" xfId="0" applyNumberFormat="1">
      <alignment vertical="center"/>
    </xf>
    <xf numFmtId="164" fontId="7" fillId="0" borderId="6" xfId="1" applyNumberFormat="1" applyFont="1" applyBorder="1">
      <alignment vertical="center"/>
    </xf>
    <xf numFmtId="167" fontId="7" fillId="0" borderId="1" xfId="0" applyNumberFormat="1" applyFont="1" applyBorder="1" applyAlignment="1">
      <alignment horizontal="center" vertical="center" wrapText="1"/>
    </xf>
    <xf numFmtId="49" fontId="11" fillId="0" borderId="0" xfId="0" applyNumberFormat="1" applyFont="1" applyAlignment="1">
      <alignment horizontal="right" vertical="center" wrapText="1"/>
    </xf>
    <xf numFmtId="0" fontId="17" fillId="0" borderId="0" xfId="0" applyFont="1" applyAlignment="1">
      <alignment horizontal="right" vertical="center"/>
    </xf>
    <xf numFmtId="49" fontId="2" fillId="2" borderId="3" xfId="0" applyNumberFormat="1" applyFont="1" applyFill="1" applyBorder="1" applyAlignment="1">
      <alignment horizontal="center" vertical="center" wrapText="1"/>
    </xf>
    <xf numFmtId="168" fontId="7" fillId="0" borderId="1" xfId="0" applyNumberFormat="1" applyFont="1" applyBorder="1" applyAlignment="1">
      <alignment horizontal="center" vertical="center" wrapText="1"/>
    </xf>
    <xf numFmtId="9" fontId="7" fillId="0" borderId="1" xfId="2" applyFont="1" applyBorder="1" applyAlignment="1">
      <alignment horizontal="right" vertical="center" wrapText="1"/>
    </xf>
    <xf numFmtId="0" fontId="3" fillId="0" borderId="0" xfId="0" applyFont="1" applyAlignment="1">
      <alignment horizontal="left" vertical="center"/>
    </xf>
    <xf numFmtId="49" fontId="20" fillId="0" borderId="1" xfId="0" applyNumberFormat="1" applyFont="1" applyBorder="1" applyAlignment="1">
      <alignment horizontal="center" vertical="center"/>
    </xf>
    <xf numFmtId="49" fontId="21" fillId="0" borderId="5" xfId="0" applyNumberFormat="1" applyFont="1" applyBorder="1" applyAlignment="1">
      <alignment horizontal="center" vertical="center"/>
    </xf>
    <xf numFmtId="49" fontId="20" fillId="0" borderId="7" xfId="0" applyNumberFormat="1" applyFont="1" applyBorder="1" applyAlignment="1">
      <alignment horizontal="center" vertical="center"/>
    </xf>
    <xf numFmtId="0" fontId="3" fillId="0" borderId="0" xfId="0" applyFont="1" applyAlignment="1">
      <alignment vertical="top"/>
    </xf>
    <xf numFmtId="49" fontId="7" fillId="0" borderId="1" xfId="0" applyNumberFormat="1" applyFont="1" applyBorder="1" applyAlignment="1">
      <alignment horizontal="left" vertical="center" wrapText="1"/>
    </xf>
    <xf numFmtId="164" fontId="0" fillId="0" borderId="0" xfId="1" applyNumberFormat="1" applyFont="1">
      <alignment vertical="center"/>
    </xf>
    <xf numFmtId="169" fontId="0" fillId="0" borderId="0" xfId="0" applyNumberFormat="1">
      <alignment vertical="center"/>
    </xf>
    <xf numFmtId="49" fontId="20" fillId="0" borderId="0" xfId="0" applyNumberFormat="1" applyFont="1" applyAlignment="1">
      <alignment horizontal="center" vertical="center"/>
    </xf>
    <xf numFmtId="0" fontId="22" fillId="0" borderId="0" xfId="0" applyFont="1" applyAlignment="1">
      <alignment horizontal="center" vertical="center"/>
    </xf>
    <xf numFmtId="0" fontId="22" fillId="0" borderId="0" xfId="0" applyFont="1">
      <alignment vertical="center"/>
    </xf>
    <xf numFmtId="0" fontId="20" fillId="0" borderId="0" xfId="0" applyFont="1">
      <alignment vertical="center"/>
    </xf>
    <xf numFmtId="167" fontId="24" fillId="0" borderId="1" xfId="0" quotePrefix="1" applyNumberFormat="1" applyFont="1" applyBorder="1" applyAlignment="1">
      <alignment horizontal="center" vertical="center" wrapText="1"/>
    </xf>
    <xf numFmtId="0" fontId="25" fillId="2" borderId="3" xfId="0" applyFont="1" applyFill="1" applyBorder="1" applyAlignment="1">
      <alignment horizontal="center" vertical="center" wrapText="1"/>
    </xf>
    <xf numFmtId="0" fontId="25" fillId="2" borderId="4" xfId="0" applyFont="1" applyFill="1" applyBorder="1" applyAlignment="1">
      <alignment horizontal="center" vertical="center" wrapText="1"/>
    </xf>
    <xf numFmtId="0" fontId="0" fillId="0" borderId="0" xfId="0" applyAlignment="1"/>
    <xf numFmtId="49" fontId="12" fillId="0" borderId="0" xfId="0" applyNumberFormat="1" applyFont="1">
      <alignment vertical="center"/>
    </xf>
    <xf numFmtId="0" fontId="9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0" xfId="0" applyAlignment="1"/>
    <xf numFmtId="49" fontId="23" fillId="0" borderId="0" xfId="0" applyNumberFormat="1" applyFont="1" applyAlignment="1">
      <alignment horizontal="left" vertical="center" wrapText="1"/>
    </xf>
    <xf numFmtId="0" fontId="18" fillId="0" borderId="0" xfId="0" applyFont="1" applyAlignment="1">
      <alignment horizontal="center" vertical="center"/>
    </xf>
    <xf numFmtId="0" fontId="3" fillId="0" borderId="6" xfId="0" applyFont="1" applyBorder="1" applyAlignment="1">
      <alignment horizontal="center" vertical="center"/>
    </xf>
    <xf numFmtId="0" fontId="0" fillId="0" borderId="14" xfId="0" applyBorder="1" applyAlignment="1"/>
    <xf numFmtId="0" fontId="15" fillId="0" borderId="0" xfId="0" applyFont="1" applyAlignment="1">
      <alignment horizontal="left" vertical="center"/>
    </xf>
    <xf numFmtId="0" fontId="4" fillId="0" borderId="0" xfId="0" applyFont="1" applyAlignment="1">
      <alignment horizontal="center" vertical="center"/>
    </xf>
    <xf numFmtId="0" fontId="3" fillId="0" borderId="20" xfId="0" applyFont="1" applyBorder="1" applyAlignment="1">
      <alignment horizontal="left" vertical="top" wrapText="1"/>
    </xf>
    <xf numFmtId="0" fontId="0" fillId="0" borderId="10" xfId="0" applyBorder="1" applyAlignment="1"/>
    <xf numFmtId="0" fontId="0" fillId="0" borderId="9" xfId="0" applyBorder="1" applyAlignment="1"/>
    <xf numFmtId="0" fontId="12" fillId="0" borderId="0" xfId="0" applyFont="1" applyAlignment="1">
      <alignment horizontal="left" vertical="center"/>
    </xf>
    <xf numFmtId="0" fontId="19" fillId="0" borderId="8" xfId="0" applyFont="1" applyBorder="1" applyAlignment="1">
      <alignment horizontal="center" vertical="center"/>
    </xf>
    <xf numFmtId="0" fontId="0" fillId="0" borderId="19" xfId="0" applyBorder="1" applyAlignment="1"/>
    <xf numFmtId="0" fontId="3" fillId="0" borderId="18" xfId="0" applyFont="1" applyBorder="1" applyAlignment="1">
      <alignment horizontal="left" vertical="center"/>
    </xf>
    <xf numFmtId="0" fontId="0" fillId="0" borderId="15" xfId="0" applyBorder="1" applyAlignment="1"/>
    <xf numFmtId="0" fontId="0" fillId="0" borderId="16" xfId="0" applyBorder="1" applyAlignment="1"/>
    <xf numFmtId="164" fontId="16" fillId="0" borderId="20" xfId="0" applyNumberFormat="1" applyFont="1" applyBorder="1" applyAlignment="1">
      <alignment horizontal="center" vertical="center"/>
    </xf>
    <xf numFmtId="0" fontId="3" fillId="0" borderId="1" xfId="0" applyFont="1" applyBorder="1" applyAlignment="1">
      <alignment horizontal="left" vertical="center"/>
    </xf>
    <xf numFmtId="0" fontId="0" fillId="0" borderId="12" xfId="0" applyBorder="1" applyAlignment="1"/>
    <xf numFmtId="0" fontId="0" fillId="0" borderId="11" xfId="0" applyBorder="1" applyAlignment="1"/>
    <xf numFmtId="0" fontId="13" fillId="0" borderId="0" xfId="0" applyFont="1" applyAlignment="1">
      <alignment horizontal="center" vertical="center"/>
    </xf>
    <xf numFmtId="0" fontId="20" fillId="0" borderId="21" xfId="0" applyFont="1" applyBorder="1" applyAlignment="1">
      <alignment horizontal="center" vertical="center"/>
    </xf>
    <xf numFmtId="0" fontId="0" fillId="0" borderId="13" xfId="0" applyBorder="1" applyAlignment="1"/>
    <xf numFmtId="0" fontId="0" fillId="0" borderId="17" xfId="0" applyBorder="1" applyAlignment="1"/>
    <xf numFmtId="0" fontId="14" fillId="0" borderId="0" xfId="0" applyFont="1" applyAlignment="1">
      <alignment horizontal="center" vertical="center"/>
    </xf>
    <xf numFmtId="0" fontId="15" fillId="0" borderId="0" xfId="0" applyFont="1" applyAlignment="1">
      <alignment horizontal="left" vertical="center" wrapText="1"/>
    </xf>
    <xf numFmtId="49" fontId="26" fillId="0" borderId="0" xfId="0" applyNumberFormat="1" applyFont="1" applyAlignment="1">
      <alignment horizontal="right" vertical="center" wrapText="1"/>
    </xf>
    <xf numFmtId="49" fontId="26" fillId="0" borderId="0" xfId="0" applyNumberFormat="1" applyFont="1" applyAlignment="1">
      <alignment horizontal="right" vertical="center" wrapText="1"/>
    </xf>
    <xf numFmtId="0" fontId="27" fillId="0" borderId="0" xfId="0" applyFont="1" applyAlignment="1"/>
  </cellXfs>
  <cellStyles count="3">
    <cellStyle name="Currency" xfId="1" builtinId="4"/>
    <cellStyle name="Normal" xfId="0" builtinId="0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theme="8" tint="-0.499984740745262"/>
    <pageSetUpPr fitToPage="1"/>
  </sheetPr>
  <dimension ref="A2:N29"/>
  <sheetViews>
    <sheetView tabSelected="1" zoomScale="85" zoomScaleNormal="85" zoomScaleSheetLayoutView="55" workbookViewId="0">
      <selection activeCell="H9" sqref="H9:I9"/>
    </sheetView>
  </sheetViews>
  <sheetFormatPr defaultRowHeight="15.6"/>
  <cols>
    <col min="1" max="1" width="5.796875" style="47" bestFit="1" customWidth="1"/>
    <col min="2" max="2" width="31.296875" style="18" customWidth="1"/>
    <col min="3" max="3" width="9" style="1" bestFit="1" customWidth="1"/>
    <col min="4" max="4" width="17.796875" style="47" bestFit="1" customWidth="1"/>
    <col min="5" max="5" width="11.19921875" style="1" bestFit="1" customWidth="1"/>
    <col min="6" max="6" width="19.59765625" style="47" customWidth="1"/>
    <col min="7" max="7" width="14.59765625" style="47" customWidth="1"/>
    <col min="8" max="8" width="17.296875" style="47" bestFit="1" customWidth="1"/>
    <col min="9" max="9" width="22.19921875" style="47" customWidth="1"/>
    <col min="10" max="10" width="9.59765625" style="47" bestFit="1" customWidth="1"/>
    <col min="14" max="14" width="19.3984375" style="47" bestFit="1" customWidth="1"/>
  </cols>
  <sheetData>
    <row r="2" spans="1:14" ht="30.6" customHeight="1">
      <c r="B2" s="57" t="s">
        <v>0</v>
      </c>
      <c r="C2" s="50"/>
      <c r="D2" s="51"/>
      <c r="E2" s="50"/>
      <c r="F2" s="51"/>
      <c r="G2" s="51"/>
      <c r="H2" s="51"/>
      <c r="I2" s="51"/>
    </row>
    <row r="3" spans="1:14" ht="21" customHeight="1">
      <c r="B3" s="49" t="s">
        <v>1</v>
      </c>
      <c r="C3" s="50"/>
      <c r="D3" s="51"/>
      <c r="E3" s="50"/>
      <c r="F3" s="51"/>
      <c r="G3" s="51"/>
      <c r="H3" s="51"/>
      <c r="I3" s="51"/>
      <c r="K3" s="5"/>
    </row>
    <row r="4" spans="1:14" ht="17.399999999999999" customHeight="1">
      <c r="B4" s="12"/>
      <c r="C4" s="10"/>
      <c r="D4" s="10"/>
      <c r="E4" s="10"/>
      <c r="F4" s="10"/>
      <c r="G4" s="10"/>
      <c r="H4" s="10"/>
      <c r="I4" s="10"/>
      <c r="K4" s="5"/>
    </row>
    <row r="5" spans="1:14" ht="33" customHeight="1">
      <c r="B5" s="75" t="s">
        <v>2</v>
      </c>
      <c r="C5" s="50"/>
      <c r="D5" s="51"/>
      <c r="E5" s="50"/>
      <c r="F5" s="51"/>
      <c r="G5" s="51"/>
      <c r="H5" s="51"/>
      <c r="I5" s="51"/>
      <c r="K5" s="5"/>
    </row>
    <row r="6" spans="1:14" ht="22.8" customHeight="1">
      <c r="B6" s="71" t="s">
        <v>3</v>
      </c>
      <c r="C6" s="50"/>
      <c r="D6" s="51"/>
      <c r="E6" s="50"/>
      <c r="F6" s="51"/>
      <c r="G6" s="51"/>
      <c r="H6" s="51"/>
      <c r="I6" s="51"/>
      <c r="K6" s="5"/>
    </row>
    <row r="7" spans="1:14" ht="22.8" customHeight="1">
      <c r="B7" s="13"/>
      <c r="C7" s="9"/>
      <c r="D7" s="9"/>
      <c r="E7" s="9"/>
      <c r="F7" s="9"/>
      <c r="G7" s="28"/>
      <c r="H7" s="53"/>
      <c r="I7" s="51"/>
      <c r="K7" s="5"/>
    </row>
    <row r="8" spans="1:14" ht="19.2" customHeight="1">
      <c r="B8" s="61" t="s">
        <v>4</v>
      </c>
      <c r="C8" s="50"/>
      <c r="D8" s="51"/>
      <c r="E8" s="50"/>
      <c r="F8" s="51"/>
      <c r="G8" s="51"/>
      <c r="H8" s="51"/>
      <c r="I8" s="51"/>
      <c r="K8" s="5"/>
    </row>
    <row r="9" spans="1:14" ht="22.8" customHeight="1">
      <c r="B9" s="14"/>
      <c r="C9" s="9"/>
      <c r="D9" s="11"/>
      <c r="E9" s="9"/>
      <c r="F9" s="11"/>
      <c r="G9" s="28" t="s">
        <v>5</v>
      </c>
      <c r="H9" s="53" t="s">
        <v>6</v>
      </c>
      <c r="I9" s="51"/>
      <c r="K9" s="5"/>
    </row>
    <row r="10" spans="1:14" ht="33" customHeight="1">
      <c r="B10" s="27" t="s">
        <v>7</v>
      </c>
      <c r="C10" s="56" t="s">
        <v>8</v>
      </c>
      <c r="D10" s="51"/>
      <c r="E10" s="50"/>
      <c r="F10" s="51"/>
      <c r="G10" s="51"/>
      <c r="H10" s="27" t="s">
        <v>9</v>
      </c>
      <c r="I10" s="48" t="s">
        <v>10</v>
      </c>
      <c r="K10" s="5"/>
    </row>
    <row r="11" spans="1:14" ht="98.4" customHeight="1">
      <c r="B11" s="77" t="s">
        <v>11</v>
      </c>
      <c r="C11" s="76" t="s">
        <v>12</v>
      </c>
      <c r="D11" s="51"/>
      <c r="E11" s="50"/>
      <c r="F11" s="51"/>
      <c r="G11" s="51"/>
      <c r="H11" s="51"/>
      <c r="I11" s="51"/>
      <c r="K11" s="5"/>
    </row>
    <row r="12" spans="1:14" ht="64.8" customHeight="1">
      <c r="B12" s="77" t="s">
        <v>13</v>
      </c>
      <c r="C12" s="52" t="s">
        <v>14</v>
      </c>
      <c r="D12" s="51"/>
      <c r="E12" s="50"/>
      <c r="F12" s="78" t="s">
        <v>15</v>
      </c>
      <c r="G12" s="79"/>
      <c r="H12" s="61" t="s">
        <v>16</v>
      </c>
      <c r="I12" s="51"/>
      <c r="K12" s="5"/>
    </row>
    <row r="13" spans="1:14" ht="16.2" customHeight="1" thickBot="1">
      <c r="N13" s="24"/>
    </row>
    <row r="14" spans="1:14" ht="34.799999999999997" customHeight="1">
      <c r="A14" s="19" t="s">
        <v>17</v>
      </c>
      <c r="B14" s="29" t="s">
        <v>18</v>
      </c>
      <c r="C14" s="22" t="s">
        <v>19</v>
      </c>
      <c r="D14" s="22" t="s">
        <v>20</v>
      </c>
      <c r="E14" s="22" t="s">
        <v>21</v>
      </c>
      <c r="F14" s="45" t="s">
        <v>22</v>
      </c>
      <c r="G14" s="22" t="s">
        <v>23</v>
      </c>
      <c r="H14" s="20" t="s">
        <v>24</v>
      </c>
      <c r="I14" s="46" t="s">
        <v>25</v>
      </c>
    </row>
    <row r="15" spans="1:14" ht="96" customHeight="1" thickBot="1">
      <c r="A15" s="21">
        <v>1</v>
      </c>
      <c r="B15" s="37" t="s">
        <v>26</v>
      </c>
      <c r="C15" s="30" t="s">
        <v>27</v>
      </c>
      <c r="D15" s="23">
        <v>234000000</v>
      </c>
      <c r="E15" s="44">
        <v>1</v>
      </c>
      <c r="F15" s="23">
        <f t="shared" ref="F15:F18" si="0">D15*E15</f>
        <v>234000000</v>
      </c>
      <c r="G15" s="31"/>
      <c r="H15" s="8">
        <f t="shared" ref="H15:H18" si="1">F15*G15</f>
        <v>0</v>
      </c>
      <c r="I15" s="25">
        <f>(F15+H15)*20%</f>
        <v>46800000</v>
      </c>
      <c r="N15" s="38"/>
    </row>
    <row r="16" spans="1:14" ht="75" hidden="1" customHeight="1">
      <c r="A16" s="21">
        <v>2</v>
      </c>
      <c r="B16" s="15"/>
      <c r="C16" s="30"/>
      <c r="D16" s="23"/>
      <c r="E16" s="26"/>
      <c r="F16" s="23">
        <f t="shared" si="0"/>
        <v>0</v>
      </c>
      <c r="G16" s="31"/>
      <c r="H16" s="8">
        <f t="shared" si="1"/>
        <v>0</v>
      </c>
      <c r="I16" s="25">
        <f>F16+H16</f>
        <v>0</v>
      </c>
      <c r="N16" s="39"/>
    </row>
    <row r="17" spans="1:9" ht="49.95" hidden="1" customHeight="1">
      <c r="A17" s="21">
        <v>3</v>
      </c>
      <c r="B17" s="15"/>
      <c r="C17" s="30"/>
      <c r="D17" s="23"/>
      <c r="E17" s="26"/>
      <c r="F17" s="23">
        <f t="shared" si="0"/>
        <v>0</v>
      </c>
      <c r="G17" s="31"/>
      <c r="H17" s="8">
        <f t="shared" si="1"/>
        <v>0</v>
      </c>
      <c r="I17" s="25">
        <f>F17+H17</f>
        <v>0</v>
      </c>
    </row>
    <row r="18" spans="1:9" ht="49.95" hidden="1" customHeight="1">
      <c r="A18" s="21">
        <v>4</v>
      </c>
      <c r="B18" s="15"/>
      <c r="C18" s="30"/>
      <c r="D18" s="23"/>
      <c r="E18" s="26"/>
      <c r="F18" s="23">
        <f t="shared" si="0"/>
        <v>0</v>
      </c>
      <c r="G18" s="31"/>
      <c r="H18" s="8">
        <f t="shared" si="1"/>
        <v>0</v>
      </c>
      <c r="I18" s="25">
        <f>F18+H18</f>
        <v>0</v>
      </c>
    </row>
    <row r="19" spans="1:9" s="2" customFormat="1" ht="25.05" customHeight="1" thickBot="1">
      <c r="A19" s="62" t="s">
        <v>28</v>
      </c>
      <c r="B19" s="59"/>
      <c r="C19" s="59"/>
      <c r="D19" s="59"/>
      <c r="E19" s="63"/>
      <c r="F19" s="67">
        <f>SUM(I15:I18)</f>
        <v>46800000</v>
      </c>
      <c r="G19" s="59"/>
      <c r="H19" s="59"/>
      <c r="I19" s="60"/>
    </row>
    <row r="20" spans="1:9" s="2" customFormat="1" ht="16.2" customHeight="1" thickBot="1">
      <c r="B20" s="17"/>
      <c r="C20" s="7"/>
      <c r="D20" s="6"/>
      <c r="E20" s="7"/>
      <c r="F20" s="6"/>
      <c r="G20" s="6"/>
      <c r="H20" s="3"/>
      <c r="I20" s="3"/>
    </row>
    <row r="21" spans="1:9" s="2" customFormat="1" ht="157.94999999999999" customHeight="1" thickBot="1">
      <c r="A21" s="36"/>
      <c r="B21" s="58" t="s">
        <v>29</v>
      </c>
      <c r="C21" s="59"/>
      <c r="D21" s="59"/>
      <c r="E21" s="59"/>
      <c r="F21" s="59"/>
      <c r="G21" s="59"/>
      <c r="H21" s="59"/>
      <c r="I21" s="60"/>
    </row>
    <row r="22" spans="1:9" s="2" customFormat="1" ht="18" customHeight="1">
      <c r="A22" s="32"/>
      <c r="B22" s="72" t="s">
        <v>30</v>
      </c>
      <c r="C22" s="73"/>
      <c r="D22" s="73"/>
      <c r="E22" s="73"/>
      <c r="F22" s="73"/>
      <c r="G22" s="73"/>
      <c r="H22" s="73"/>
      <c r="I22" s="74"/>
    </row>
    <row r="23" spans="1:9" s="2" customFormat="1" ht="18" customHeight="1">
      <c r="B23" s="34" t="s">
        <v>31</v>
      </c>
      <c r="C23" s="68" t="s">
        <v>1</v>
      </c>
      <c r="D23" s="69"/>
      <c r="E23" s="69"/>
      <c r="F23" s="70"/>
      <c r="G23" s="33" t="s">
        <v>32</v>
      </c>
      <c r="H23" s="54" t="s">
        <v>33</v>
      </c>
      <c r="I23" s="55"/>
    </row>
    <row r="24" spans="1:9" s="2" customFormat="1" ht="18.600000000000001" customHeight="1" thickBot="1">
      <c r="B24" s="35" t="s">
        <v>34</v>
      </c>
      <c r="C24" s="64" t="s">
        <v>35</v>
      </c>
      <c r="D24" s="65"/>
      <c r="E24" s="65"/>
      <c r="F24" s="65"/>
      <c r="G24" s="65"/>
      <c r="H24" s="65"/>
      <c r="I24" s="66"/>
    </row>
    <row r="25" spans="1:9" s="2" customFormat="1">
      <c r="B25" s="16"/>
      <c r="C25" s="4"/>
      <c r="E25" s="4"/>
    </row>
    <row r="26" spans="1:9" s="2" customFormat="1" ht="18" customHeight="1">
      <c r="B26" s="40" t="s">
        <v>36</v>
      </c>
      <c r="C26" s="41"/>
      <c r="D26" s="42"/>
      <c r="E26" s="41"/>
      <c r="F26" s="43" t="s">
        <v>37</v>
      </c>
    </row>
    <row r="27" spans="1:9" s="2" customFormat="1">
      <c r="B27" s="16"/>
      <c r="C27" s="4"/>
      <c r="E27" s="4"/>
    </row>
    <row r="28" spans="1:9" s="2" customFormat="1">
      <c r="B28" s="16"/>
      <c r="C28" s="4"/>
      <c r="E28" s="4"/>
    </row>
    <row r="29" spans="1:9" s="2" customFormat="1">
      <c r="B29" s="16"/>
      <c r="C29" s="4"/>
      <c r="E29" s="4"/>
    </row>
  </sheetData>
  <mergeCells count="19">
    <mergeCell ref="B2:I2"/>
    <mergeCell ref="B21:I21"/>
    <mergeCell ref="B8:I8"/>
    <mergeCell ref="A19:E19"/>
    <mergeCell ref="C24:I24"/>
    <mergeCell ref="H7:I7"/>
    <mergeCell ref="F19:I19"/>
    <mergeCell ref="C23:F23"/>
    <mergeCell ref="H12:I12"/>
    <mergeCell ref="B6:I6"/>
    <mergeCell ref="B22:I22"/>
    <mergeCell ref="B5:I5"/>
    <mergeCell ref="C11:I11"/>
    <mergeCell ref="B3:I3"/>
    <mergeCell ref="C12:E12"/>
    <mergeCell ref="H9:I9"/>
    <mergeCell ref="H23:I23"/>
    <mergeCell ref="F12:G12"/>
    <mergeCell ref="C10:G10"/>
  </mergeCells>
  <printOptions horizontalCentered="1"/>
  <pageMargins left="0.39370078740157483" right="0.39370078740157483" top="0.39370078740157483" bottom="0.39370078740157483" header="0.31496062992125978" footer="0.31496062992125978"/>
  <pageSetup paperSize="9" scale="5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1</vt:i4>
      </vt:variant>
    </vt:vector>
  </HeadingPairs>
  <TitlesOfParts>
    <vt:vector size="2" baseType="lpstr">
      <vt:lpstr>CX_請款單</vt:lpstr>
      <vt:lpstr>CX_請款單!Print_Area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Jenson</dc:creator>
  <cp:lastModifiedBy>bang nguyen</cp:lastModifiedBy>
  <cp:lastPrinted>2026-10-21T09:00:13Z</cp:lastPrinted>
  <dcterms:created xsi:type="dcterms:W3CDTF">2022-03-01T06:40:34Z</dcterms:created>
  <dcterms:modified xsi:type="dcterms:W3CDTF">2026-10-21T09:03:53Z</dcterms:modified>
</cp:coreProperties>
</file>