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公司資料區\越南公司\Eco-Prime公司\Project\橘子亞洲\"/>
    </mc:Choice>
  </mc:AlternateContent>
  <xr:revisionPtr revIDLastSave="0" documentId="13_ncr:1_{8DE997CD-71D6-453F-B93E-5622DF16402F}" xr6:coauthVersionLast="47" xr6:coauthVersionMax="47" xr10:uidLastSave="{00000000-0000-0000-0000-000000000000}"/>
  <bookViews>
    <workbookView xWindow="-48" yWindow="-48" windowWidth="23136" windowHeight="12336" xr2:uid="{00000000-000D-0000-FFFF-FFFF00000000}"/>
  </bookViews>
  <sheets>
    <sheet name="BHT" sheetId="8" r:id="rId1"/>
    <sheet name="BHT2" sheetId="9" r:id="rId2"/>
  </sheets>
  <definedNames>
    <definedName name="_xlnm.Print_Area" localSheetId="0">BHT!$A$1:$H$27</definedName>
    <definedName name="_xlnm.Print_Area" localSheetId="1">'BHT2'!$A$1:$H$27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9" l="1"/>
  <c r="N17" i="9"/>
  <c r="N16" i="9"/>
  <c r="N15" i="9"/>
  <c r="N14" i="9"/>
  <c r="N13" i="9"/>
  <c r="H13" i="8"/>
  <c r="G16" i="9"/>
  <c r="H16" i="9" s="1"/>
  <c r="G15" i="9"/>
  <c r="H15" i="9" s="1"/>
  <c r="J19" i="9"/>
  <c r="J18" i="9"/>
  <c r="M17" i="9"/>
  <c r="L17" i="9"/>
  <c r="O17" i="9" s="1"/>
  <c r="P17" i="9" s="1"/>
  <c r="G17" i="9"/>
  <c r="H17" i="9" s="1"/>
  <c r="M16" i="9"/>
  <c r="L16" i="9"/>
  <c r="O16" i="9" s="1"/>
  <c r="P16" i="9" s="1"/>
  <c r="M15" i="9"/>
  <c r="L15" i="9"/>
  <c r="O15" i="9" s="1"/>
  <c r="P15" i="9" s="1"/>
  <c r="M14" i="9"/>
  <c r="L14" i="9"/>
  <c r="P14" i="9" s="1"/>
  <c r="G14" i="9"/>
  <c r="H14" i="9" s="1"/>
  <c r="R13" i="9"/>
  <c r="M13" i="9"/>
  <c r="L13" i="9"/>
  <c r="O13" i="9" s="1"/>
  <c r="P13" i="9" s="1"/>
  <c r="G13" i="9"/>
  <c r="Q13" i="8"/>
  <c r="J19" i="8"/>
  <c r="L19" i="8" s="1"/>
  <c r="N19" i="8" s="1"/>
  <c r="J18" i="8"/>
  <c r="L18" i="8" s="1"/>
  <c r="N18" i="8" s="1"/>
  <c r="L14" i="8"/>
  <c r="M14" i="8"/>
  <c r="N14" i="8"/>
  <c r="O14" i="8" s="1"/>
  <c r="L15" i="8"/>
  <c r="M15" i="8"/>
  <c r="L16" i="8"/>
  <c r="N16" i="8" s="1"/>
  <c r="O16" i="8" s="1"/>
  <c r="M16" i="8"/>
  <c r="L17" i="8"/>
  <c r="M17" i="8"/>
  <c r="N17" i="8" s="1"/>
  <c r="O17" i="8" s="1"/>
  <c r="L13" i="8"/>
  <c r="M13" i="8"/>
  <c r="G21" i="9" l="1"/>
  <c r="G23" i="9" s="1"/>
  <c r="P20" i="9"/>
  <c r="H13" i="9"/>
  <c r="L18" i="9"/>
  <c r="O18" i="9" s="1"/>
  <c r="L19" i="9"/>
  <c r="O19" i="9" s="1"/>
  <c r="N13" i="8"/>
  <c r="O13" i="8" s="1"/>
  <c r="N15" i="8"/>
  <c r="O15" i="8" s="1"/>
  <c r="G17" i="8"/>
  <c r="H17" i="8" s="1"/>
  <c r="O20" i="8" l="1"/>
  <c r="P21" i="9"/>
  <c r="P22" i="9" s="1"/>
  <c r="G22" i="9"/>
  <c r="H21" i="9"/>
  <c r="H23" i="9" s="1"/>
  <c r="G16" i="8"/>
  <c r="H16" i="8" s="1"/>
  <c r="G15" i="8"/>
  <c r="H15" i="8" s="1"/>
  <c r="G14" i="8"/>
  <c r="H14" i="8" s="1"/>
  <c r="G13" i="8"/>
  <c r="G21" i="8" l="1"/>
  <c r="H22" i="9"/>
  <c r="H21" i="8"/>
  <c r="H22" i="8" l="1"/>
  <c r="H23" i="8"/>
  <c r="G23" i="8"/>
  <c r="O21" i="8"/>
  <c r="O22" i="8" s="1"/>
  <c r="G22" i="8"/>
</calcChain>
</file>

<file path=xl/sharedStrings.xml><?xml version="1.0" encoding="utf-8"?>
<sst xmlns="http://schemas.openxmlformats.org/spreadsheetml/2006/main" count="149" uniqueCount="75">
  <si>
    <t>STT</t>
    <phoneticPr fontId="7" type="noConversion"/>
  </si>
  <si>
    <r>
      <t>N</t>
    </r>
    <r>
      <rPr>
        <b/>
        <sz val="12"/>
        <color rgb="FF000000"/>
        <rFont val="Calibri"/>
        <family val="2"/>
        <charset val="163"/>
      </rPr>
      <t>ộ</t>
    </r>
    <r>
      <rPr>
        <b/>
        <sz val="12"/>
        <color indexed="8"/>
        <rFont val="微軟正黑體"/>
        <family val="2"/>
        <charset val="136"/>
      </rPr>
      <t>i Dung S</t>
    </r>
    <r>
      <rPr>
        <b/>
        <sz val="12"/>
        <color rgb="FF000000"/>
        <rFont val="Calibri"/>
        <family val="2"/>
        <charset val="163"/>
      </rPr>
      <t>ả</t>
    </r>
    <r>
      <rPr>
        <b/>
        <sz val="12"/>
        <color indexed="8"/>
        <rFont val="微軟正黑體"/>
        <family val="2"/>
        <charset val="136"/>
      </rPr>
      <t>n Ph</t>
    </r>
    <r>
      <rPr>
        <b/>
        <sz val="12"/>
        <color rgb="FF000000"/>
        <rFont val="Calibri"/>
        <family val="2"/>
        <charset val="163"/>
      </rPr>
      <t>ẩ</t>
    </r>
    <r>
      <rPr>
        <b/>
        <sz val="12"/>
        <color indexed="8"/>
        <rFont val="微軟正黑體"/>
        <family val="2"/>
        <charset val="136"/>
      </rPr>
      <t xml:space="preserve">m 產品內容 </t>
    </r>
    <phoneticPr fontId="7" type="noConversion"/>
  </si>
  <si>
    <r>
      <t>Tên S</t>
    </r>
    <r>
      <rPr>
        <b/>
        <sz val="12"/>
        <color rgb="FF000000"/>
        <rFont val="Calibri"/>
        <family val="2"/>
        <charset val="163"/>
      </rPr>
      <t>ả</t>
    </r>
    <r>
      <rPr>
        <b/>
        <sz val="12"/>
        <color indexed="8"/>
        <rFont val="微軟正黑體"/>
        <family val="2"/>
        <charset val="136"/>
      </rPr>
      <t>n Ph</t>
    </r>
    <r>
      <rPr>
        <b/>
        <sz val="12"/>
        <color rgb="FF000000"/>
        <rFont val="Calibri"/>
        <family val="2"/>
        <charset val="163"/>
      </rPr>
      <t>ẩ</t>
    </r>
    <r>
      <rPr>
        <b/>
        <sz val="12"/>
        <color indexed="8"/>
        <rFont val="微軟正黑體"/>
        <family val="2"/>
        <charset val="136"/>
      </rPr>
      <t>m
產品名稱</t>
    </r>
    <phoneticPr fontId="7" type="noConversion"/>
  </si>
  <si>
    <r>
      <t>S</t>
    </r>
    <r>
      <rPr>
        <b/>
        <sz val="12"/>
        <rFont val="Calibri"/>
        <family val="2"/>
        <charset val="163"/>
      </rPr>
      <t>ố</t>
    </r>
    <r>
      <rPr>
        <b/>
        <sz val="12"/>
        <rFont val="微軟正黑體"/>
        <family val="2"/>
        <charset val="136"/>
      </rPr>
      <t xml:space="preserve"> l</t>
    </r>
    <r>
      <rPr>
        <b/>
        <sz val="12"/>
        <rFont val="Segoe UI"/>
        <family val="2"/>
        <charset val="238"/>
      </rPr>
      <t>ư</t>
    </r>
    <r>
      <rPr>
        <b/>
        <sz val="12"/>
        <rFont val="Calibri"/>
        <family val="2"/>
        <charset val="163"/>
      </rPr>
      <t>ợ</t>
    </r>
    <r>
      <rPr>
        <b/>
        <sz val="12"/>
        <rFont val="微軟正黑體"/>
        <family val="2"/>
        <charset val="136"/>
      </rPr>
      <t>ng
數量</t>
    </r>
    <phoneticPr fontId="7" type="noConversion"/>
  </si>
  <si>
    <r>
      <rPr>
        <b/>
        <sz val="12"/>
        <color rgb="FF000000"/>
        <rFont val="微軟正黑體"/>
        <family val="2"/>
        <charset val="136"/>
      </rPr>
      <t>H</t>
    </r>
    <r>
      <rPr>
        <b/>
        <sz val="12"/>
        <color rgb="FF000000"/>
        <rFont val="Calibri"/>
        <family val="2"/>
        <charset val="163"/>
      </rPr>
      <t>ạ</t>
    </r>
    <r>
      <rPr>
        <b/>
        <sz val="12"/>
        <color rgb="FF000000"/>
        <rFont val="微軟正黑體"/>
        <family val="2"/>
        <charset val="136"/>
      </rPr>
      <t>ng M</t>
    </r>
    <r>
      <rPr>
        <b/>
        <sz val="12"/>
        <color rgb="FF000000"/>
        <rFont val="Calibri"/>
        <family val="2"/>
        <charset val="163"/>
      </rPr>
      <t>ụ</t>
    </r>
    <r>
      <rPr>
        <b/>
        <sz val="12"/>
        <color rgb="FF000000"/>
        <rFont val="微軟正黑體"/>
        <family val="2"/>
        <charset val="136"/>
      </rPr>
      <t>c</t>
    </r>
    <r>
      <rPr>
        <b/>
        <sz val="12"/>
        <color indexed="8"/>
        <rFont val="微軟正黑體"/>
        <family val="2"/>
        <charset val="136"/>
      </rPr>
      <t xml:space="preserve"> 
項目類別</t>
    </r>
    <phoneticPr fontId="7" type="noConversion"/>
  </si>
  <si>
    <t>以下空白</t>
    <phoneticPr fontId="7" type="noConversion"/>
  </si>
  <si>
    <r>
      <t>Thông tin ng</t>
    </r>
    <r>
      <rPr>
        <b/>
        <sz val="14"/>
        <color theme="0"/>
        <rFont val="Segoe UI"/>
        <family val="2"/>
        <charset val="238"/>
      </rPr>
      <t>ư</t>
    </r>
    <r>
      <rPr>
        <b/>
        <sz val="14"/>
        <color theme="0"/>
        <rFont val="Calibri"/>
        <family val="2"/>
        <charset val="163"/>
      </rPr>
      <t>ờ</t>
    </r>
    <r>
      <rPr>
        <b/>
        <sz val="14"/>
        <color theme="0"/>
        <rFont val="微軟正黑體"/>
        <family val="2"/>
        <charset val="136"/>
      </rPr>
      <t>i mua 買方資訊</t>
    </r>
    <phoneticPr fontId="7" type="noConversion"/>
  </si>
  <si>
    <r>
      <t>Thông tin ng</t>
    </r>
    <r>
      <rPr>
        <b/>
        <sz val="14"/>
        <color theme="0"/>
        <rFont val="Segoe UI"/>
        <family val="2"/>
        <charset val="238"/>
      </rPr>
      <t>ư</t>
    </r>
    <r>
      <rPr>
        <b/>
        <sz val="14"/>
        <color theme="0"/>
        <rFont val="Calibri"/>
        <family val="2"/>
        <charset val="163"/>
      </rPr>
      <t>ờ</t>
    </r>
    <r>
      <rPr>
        <b/>
        <sz val="14"/>
        <color theme="0"/>
        <rFont val="微軟正黑體"/>
        <family val="2"/>
        <charset val="136"/>
      </rPr>
      <t>i bán 賣方資訊</t>
    </r>
    <phoneticPr fontId="7" type="noConversion"/>
  </si>
  <si>
    <r>
      <t>Báo giá ph</t>
    </r>
    <r>
      <rPr>
        <b/>
        <sz val="16"/>
        <color theme="0"/>
        <rFont val="Calibri"/>
        <family val="2"/>
        <charset val="163"/>
      </rPr>
      <t>ầ</t>
    </r>
    <r>
      <rPr>
        <b/>
        <sz val="16"/>
        <color theme="0"/>
        <rFont val="微軟正黑體"/>
        <family val="2"/>
        <charset val="136"/>
      </rPr>
      <t>n c</t>
    </r>
    <r>
      <rPr>
        <b/>
        <sz val="16"/>
        <color theme="0"/>
        <rFont val="Calibri"/>
        <family val="2"/>
        <charset val="163"/>
      </rPr>
      <t>ứ</t>
    </r>
    <r>
      <rPr>
        <b/>
        <sz val="16"/>
        <color theme="0"/>
        <rFont val="微軟正黑體"/>
        <family val="2"/>
        <charset val="136"/>
      </rPr>
      <t>ng 硬體報價訂購確認單</t>
    </r>
    <phoneticPr fontId="7" type="noConversion"/>
  </si>
  <si>
    <t>Tên công ty 公司名稱：</t>
    <phoneticPr fontId="7" type="noConversion"/>
  </si>
  <si>
    <r>
      <t>Ng</t>
    </r>
    <r>
      <rPr>
        <b/>
        <sz val="12"/>
        <rFont val="Segoe UI"/>
        <family val="2"/>
        <charset val="238"/>
      </rPr>
      <t>ư</t>
    </r>
    <r>
      <rPr>
        <b/>
        <sz val="12"/>
        <rFont val="Calibri"/>
        <family val="2"/>
        <charset val="163"/>
      </rPr>
      <t>ờ</t>
    </r>
    <r>
      <rPr>
        <b/>
        <sz val="12"/>
        <rFont val="微軟正黑體"/>
        <family val="2"/>
        <charset val="136"/>
      </rPr>
      <t>i liên l</t>
    </r>
    <r>
      <rPr>
        <b/>
        <sz val="12"/>
        <rFont val="Calibri"/>
        <family val="2"/>
        <charset val="163"/>
      </rPr>
      <t>ạ</t>
    </r>
    <r>
      <rPr>
        <b/>
        <sz val="12"/>
        <rFont val="微軟正黑體"/>
        <family val="2"/>
        <charset val="136"/>
      </rPr>
      <t>c 聯絡人：</t>
    </r>
    <phoneticPr fontId="7" type="noConversion"/>
  </si>
  <si>
    <r>
      <rPr>
        <b/>
        <sz val="12"/>
        <rFont val="Segoe UI"/>
        <family val="2"/>
        <charset val="238"/>
      </rPr>
      <t>Đ</t>
    </r>
    <r>
      <rPr>
        <b/>
        <sz val="12"/>
        <rFont val="Calibri"/>
        <family val="2"/>
      </rPr>
      <t>i</t>
    </r>
    <r>
      <rPr>
        <b/>
        <sz val="12"/>
        <rFont val="Calibri"/>
        <family val="2"/>
        <charset val="163"/>
      </rPr>
      <t>ệ</t>
    </r>
    <r>
      <rPr>
        <b/>
        <sz val="12"/>
        <rFont val="Calibri"/>
        <family val="2"/>
      </rPr>
      <t>n tho</t>
    </r>
    <r>
      <rPr>
        <b/>
        <sz val="12"/>
        <rFont val="Calibri"/>
        <family val="2"/>
        <charset val="163"/>
      </rPr>
      <t>ạ</t>
    </r>
    <r>
      <rPr>
        <b/>
        <sz val="12"/>
        <rFont val="Calibri"/>
        <family val="2"/>
      </rPr>
      <t xml:space="preserve">i </t>
    </r>
    <r>
      <rPr>
        <b/>
        <sz val="12"/>
        <rFont val="微軟正黑體"/>
        <family val="2"/>
        <charset val="136"/>
      </rPr>
      <t>聯絡電話：</t>
    </r>
    <phoneticPr fontId="7" type="noConversion"/>
  </si>
  <si>
    <t>Fax 傳真電話：</t>
    <phoneticPr fontId="7" type="noConversion"/>
  </si>
  <si>
    <r>
      <rPr>
        <b/>
        <sz val="12"/>
        <rFont val="Segoe UI"/>
        <family val="2"/>
        <charset val="238"/>
      </rPr>
      <t>Đ</t>
    </r>
    <r>
      <rPr>
        <b/>
        <sz val="12"/>
        <rFont val="Calibri"/>
        <family val="2"/>
        <charset val="163"/>
      </rPr>
      <t>ị</t>
    </r>
    <r>
      <rPr>
        <b/>
        <sz val="12"/>
        <rFont val="Calibri"/>
        <family val="2"/>
      </rPr>
      <t>a ch</t>
    </r>
    <r>
      <rPr>
        <b/>
        <sz val="12"/>
        <rFont val="Calibri"/>
        <family val="2"/>
        <charset val="163"/>
      </rPr>
      <t>ỉ</t>
    </r>
    <r>
      <rPr>
        <b/>
        <sz val="12"/>
        <rFont val="微軟正黑體"/>
        <family val="2"/>
        <charset val="136"/>
      </rPr>
      <t xml:space="preserve"> 聯絡地址：</t>
    </r>
    <phoneticPr fontId="7" type="noConversion"/>
  </si>
  <si>
    <t>E-mail電子郵件：</t>
    <phoneticPr fontId="7" type="noConversion"/>
  </si>
  <si>
    <r>
      <t>T</t>
    </r>
    <r>
      <rPr>
        <b/>
        <sz val="12"/>
        <color theme="1"/>
        <rFont val="Calibri"/>
        <family val="2"/>
        <charset val="163"/>
      </rPr>
      <t>ổ</t>
    </r>
    <r>
      <rPr>
        <b/>
        <sz val="12"/>
        <color theme="1"/>
        <rFont val="微軟正黑體"/>
        <family val="2"/>
        <charset val="136"/>
      </rPr>
      <t>ng Giá 總價 VND</t>
    </r>
    <phoneticPr fontId="7" type="noConversion"/>
  </si>
  <si>
    <r>
      <t>T</t>
    </r>
    <r>
      <rPr>
        <b/>
        <sz val="12"/>
        <color theme="1"/>
        <rFont val="Calibri"/>
        <family val="2"/>
        <charset val="163"/>
      </rPr>
      <t>ổ</t>
    </r>
    <r>
      <rPr>
        <b/>
        <sz val="12"/>
        <color theme="1"/>
        <rFont val="微軟正黑體"/>
        <family val="2"/>
        <charset val="136"/>
      </rPr>
      <t>ng Giá 總價 USD</t>
    </r>
    <phoneticPr fontId="7" type="noConversion"/>
  </si>
  <si>
    <t>張永吉 Jenson</t>
    <phoneticPr fontId="37" type="noConversion"/>
  </si>
  <si>
    <t>0966687109</t>
    <phoneticPr fontId="37" type="noConversion"/>
  </si>
  <si>
    <r>
      <rPr>
        <b/>
        <sz val="12"/>
        <rFont val="Segoe UI"/>
        <family val="2"/>
        <charset val="238"/>
      </rPr>
      <t>Đơ</t>
    </r>
    <r>
      <rPr>
        <b/>
        <sz val="12"/>
        <rFont val="微軟正黑體"/>
        <family val="2"/>
        <charset val="136"/>
      </rPr>
      <t>n Giá 單價</t>
    </r>
    <r>
      <rPr>
        <b/>
        <sz val="12"/>
        <rFont val="Calibri"/>
        <family val="2"/>
      </rPr>
      <t xml:space="preserve"> USD</t>
    </r>
    <phoneticPr fontId="7" type="noConversion"/>
  </si>
  <si>
    <t>sales@hongming-global.com</t>
    <phoneticPr fontId="37" type="noConversion"/>
  </si>
  <si>
    <r>
      <t>L</t>
    </r>
    <r>
      <rPr>
        <sz val="12"/>
        <rFont val="Calibri"/>
        <family val="2"/>
        <charset val="163"/>
      </rPr>
      <t>ầ</t>
    </r>
    <r>
      <rPr>
        <sz val="12"/>
        <rFont val="微軟正黑體"/>
        <family val="2"/>
        <charset val="136"/>
      </rPr>
      <t>u 2, s</t>
    </r>
    <r>
      <rPr>
        <sz val="12"/>
        <rFont val="Calibri"/>
        <family val="2"/>
        <charset val="163"/>
      </rPr>
      <t>ố</t>
    </r>
    <r>
      <rPr>
        <sz val="12"/>
        <rFont val="微軟正黑體"/>
        <family val="2"/>
        <charset val="136"/>
      </rPr>
      <t xml:space="preserve"> 68 Nguy</t>
    </r>
    <r>
      <rPr>
        <sz val="12"/>
        <rFont val="Calibri"/>
        <family val="2"/>
        <charset val="163"/>
      </rPr>
      <t>ễ</t>
    </r>
    <r>
      <rPr>
        <sz val="12"/>
        <rFont val="微軟正黑體"/>
        <family val="2"/>
        <charset val="136"/>
      </rPr>
      <t>n Hu</t>
    </r>
    <r>
      <rPr>
        <sz val="12"/>
        <rFont val="Calibri"/>
        <family val="2"/>
        <charset val="163"/>
      </rPr>
      <t>ệ</t>
    </r>
    <r>
      <rPr>
        <sz val="12"/>
        <rFont val="微軟正黑體"/>
        <family val="2"/>
        <charset val="136"/>
      </rPr>
      <t>, Ph</t>
    </r>
    <r>
      <rPr>
        <sz val="12"/>
        <rFont val="Segoe UI"/>
        <family val="2"/>
        <charset val="238"/>
      </rPr>
      <t>ư</t>
    </r>
    <r>
      <rPr>
        <sz val="12"/>
        <rFont val="Calibri"/>
        <family val="2"/>
        <charset val="163"/>
      </rPr>
      <t>ờ</t>
    </r>
    <r>
      <rPr>
        <sz val="12"/>
        <rFont val="微軟正黑體"/>
        <family val="2"/>
        <charset val="136"/>
      </rPr>
      <t>ng Sài Gòn, TP H</t>
    </r>
    <r>
      <rPr>
        <sz val="12"/>
        <rFont val="Calibri"/>
        <family val="2"/>
        <charset val="163"/>
      </rPr>
      <t>ồ</t>
    </r>
    <r>
      <rPr>
        <sz val="12"/>
        <rFont val="微軟正黑體"/>
        <family val="2"/>
        <charset val="136"/>
      </rPr>
      <t xml:space="preserve"> Chí Minh, Vi</t>
    </r>
    <r>
      <rPr>
        <sz val="12"/>
        <rFont val="Calibri"/>
        <family val="2"/>
        <charset val="163"/>
      </rPr>
      <t>ệ</t>
    </r>
    <r>
      <rPr>
        <sz val="12"/>
        <rFont val="微軟正黑體"/>
        <family val="2"/>
        <charset val="136"/>
      </rPr>
      <t>t Nam</t>
    </r>
    <phoneticPr fontId="37" type="noConversion"/>
  </si>
  <si>
    <t>報價日期 Ngày báo giá: 24/7/2026</t>
  </si>
  <si>
    <r>
      <t>1) Gi</t>
    </r>
    <r>
      <rPr>
        <b/>
        <sz val="14"/>
        <color theme="1"/>
        <rFont val="Calibri"/>
        <family val="2"/>
        <charset val="163"/>
      </rPr>
      <t>ả</t>
    </r>
    <r>
      <rPr>
        <b/>
        <sz val="14"/>
        <color theme="1"/>
        <rFont val="微軟正黑體"/>
        <family val="2"/>
        <charset val="136"/>
      </rPr>
      <t>i pháp nâng c</t>
    </r>
    <r>
      <rPr>
        <b/>
        <sz val="14"/>
        <color theme="1"/>
        <rFont val="Calibri"/>
        <family val="2"/>
        <charset val="163"/>
      </rPr>
      <t>ấ</t>
    </r>
    <r>
      <rPr>
        <b/>
        <sz val="14"/>
        <color theme="1"/>
        <rFont val="微軟正黑體"/>
        <family val="2"/>
        <charset val="136"/>
      </rPr>
      <t>p h</t>
    </r>
    <r>
      <rPr>
        <b/>
        <sz val="14"/>
        <color theme="1"/>
        <rFont val="Calibri"/>
        <family val="2"/>
        <charset val="163"/>
      </rPr>
      <t>ệ</t>
    </r>
    <r>
      <rPr>
        <b/>
        <sz val="14"/>
        <color theme="1"/>
        <rFont val="微軟正黑體"/>
        <family val="2"/>
        <charset val="136"/>
      </rPr>
      <t xml:space="preserve"> th</t>
    </r>
    <r>
      <rPr>
        <b/>
        <sz val="14"/>
        <color theme="1"/>
        <rFont val="Calibri"/>
        <family val="2"/>
        <charset val="163"/>
      </rPr>
      <t>ố</t>
    </r>
    <r>
      <rPr>
        <b/>
        <sz val="14"/>
        <color theme="1"/>
        <rFont val="微軟正黑體"/>
        <family val="2"/>
        <charset val="136"/>
      </rPr>
      <t xml:space="preserve">ng </t>
    </r>
    <r>
      <rPr>
        <b/>
        <sz val="14"/>
        <color theme="1"/>
        <rFont val="Segoe UI"/>
        <family val="2"/>
        <charset val="238"/>
      </rPr>
      <t>đ</t>
    </r>
    <r>
      <rPr>
        <b/>
        <sz val="14"/>
        <color theme="1"/>
        <rFont val="微軟正黑體"/>
        <family val="2"/>
        <charset val="136"/>
      </rPr>
      <t xml:space="preserve">o </t>
    </r>
    <r>
      <rPr>
        <b/>
        <sz val="14"/>
        <color theme="1"/>
        <rFont val="Segoe UI"/>
        <family val="2"/>
        <charset val="238"/>
      </rPr>
      <t>đ</t>
    </r>
    <r>
      <rPr>
        <b/>
        <sz val="14"/>
        <color theme="1"/>
        <rFont val="Calibri"/>
        <family val="2"/>
        <charset val="163"/>
      </rPr>
      <t>ế</t>
    </r>
    <r>
      <rPr>
        <b/>
        <sz val="14"/>
        <color theme="1"/>
        <rFont val="微軟正黑體"/>
        <family val="2"/>
        <charset val="136"/>
      </rPr>
      <t xml:space="preserve">m </t>
    </r>
    <r>
      <rPr>
        <b/>
        <sz val="14"/>
        <color theme="1"/>
        <rFont val="Segoe UI"/>
        <family val="2"/>
        <charset val="238"/>
      </rPr>
      <t>đ</t>
    </r>
    <r>
      <rPr>
        <b/>
        <sz val="14"/>
        <color theme="1"/>
        <rFont val="微軟正黑體"/>
        <family val="2"/>
        <charset val="136"/>
      </rPr>
      <t>i</t>
    </r>
    <r>
      <rPr>
        <b/>
        <sz val="14"/>
        <color theme="1"/>
        <rFont val="Calibri"/>
        <family val="2"/>
        <charset val="163"/>
      </rPr>
      <t>ệ</t>
    </r>
    <r>
      <rPr>
        <b/>
        <sz val="14"/>
        <color theme="1"/>
        <rFont val="微軟正黑體"/>
        <family val="2"/>
        <charset val="136"/>
      </rPr>
      <t>n n</t>
    </r>
    <r>
      <rPr>
        <b/>
        <sz val="14"/>
        <color theme="1"/>
        <rFont val="Segoe UI"/>
        <family val="2"/>
        <charset val="238"/>
      </rPr>
      <t>ă</t>
    </r>
    <r>
      <rPr>
        <b/>
        <sz val="14"/>
        <color theme="1"/>
        <rFont val="微軟正黑體"/>
        <family val="2"/>
        <charset val="136"/>
      </rPr>
      <t>ng SMB150 cho 18 t</t>
    </r>
    <r>
      <rPr>
        <b/>
        <sz val="14"/>
        <color theme="1"/>
        <rFont val="Calibri"/>
        <family val="2"/>
        <charset val="163"/>
      </rPr>
      <t>ủ</t>
    </r>
    <r>
      <rPr>
        <b/>
        <sz val="14"/>
        <color theme="1"/>
        <rFont val="微軟正黑體"/>
        <family val="2"/>
        <charset val="136"/>
      </rPr>
      <t xml:space="preserve"> </t>
    </r>
    <r>
      <rPr>
        <b/>
        <sz val="14"/>
        <color theme="1"/>
        <rFont val="Segoe UI"/>
        <family val="2"/>
        <charset val="238"/>
      </rPr>
      <t>đ</t>
    </r>
    <r>
      <rPr>
        <b/>
        <sz val="14"/>
        <color theme="1"/>
        <rFont val="微軟正黑體"/>
        <family val="2"/>
        <charset val="136"/>
      </rPr>
      <t>i</t>
    </r>
    <r>
      <rPr>
        <b/>
        <sz val="14"/>
        <color theme="1"/>
        <rFont val="Calibri"/>
        <family val="2"/>
        <charset val="163"/>
      </rPr>
      <t>ệ</t>
    </r>
    <r>
      <rPr>
        <b/>
        <sz val="14"/>
        <color theme="1"/>
        <rFont val="微軟正黑體"/>
        <family val="2"/>
        <charset val="136"/>
      </rPr>
      <t>n DB1~DB18 SMB150电能计量系统升级方案(适用于18个配电柜DB1~DB18)</t>
    </r>
    <phoneticPr fontId="13" type="noConversion"/>
  </si>
  <si>
    <t>Đồng hồ đa năng SMB150-8-B
SMB150-8-B 多功能电表</t>
  </si>
  <si>
    <t>Đồng hồ đa năng SMB150, mã đặt hàng SMB150-8-B (8 kênh 3 pha, ghép sẵn CT chuyên dụng 50~600A, giao tiếp Modbus RTU/RS485). 1 bộ / tủ điện (DB1~DB18).
SMB150多功能电表,订货型号SMB150-8-B(8路三相通道,配套50~600A专用CT,Modbus RTU/RS485通讯)。每柜1台(DB1~DB18)。</t>
  </si>
  <si>
    <t>Biến dòng CT-50SB (50A)
电流互感器CT-50SB(50A)</t>
  </si>
  <si>
    <t>Biến dòng CT (split-core)
电流互感器(扣式)</t>
  </si>
  <si>
    <t>Biến dòng CT-100SB (100A)
电流互感器CT-100SB(100A)</t>
  </si>
  <si>
    <t>Biến dòng CT-200SB (200A)
电流互感器CT-200SB(200A)</t>
  </si>
  <si>
    <t>Gateway Modbus RTU/RS485 sang TCP
网关 Modbus RTU/RS485转TCP</t>
  </si>
  <si>
    <t>Gateway thu thập dữ liệu
数据采集网关</t>
  </si>
  <si>
    <r>
      <t>CÔNG TY C</t>
    </r>
    <r>
      <rPr>
        <sz val="12"/>
        <rFont val="Calibri"/>
        <family val="2"/>
        <charset val="163"/>
      </rPr>
      <t>Ổ</t>
    </r>
    <r>
      <rPr>
        <sz val="12"/>
        <rFont val="微軟正黑體"/>
        <family val="2"/>
        <charset val="136"/>
      </rPr>
      <t xml:space="preserve"> PH</t>
    </r>
    <r>
      <rPr>
        <sz val="12"/>
        <rFont val="Calibri"/>
        <family val="2"/>
        <charset val="163"/>
      </rPr>
      <t>Ầ</t>
    </r>
    <r>
      <rPr>
        <sz val="12"/>
        <rFont val="微軟正黑體"/>
        <family val="2"/>
        <charset val="136"/>
      </rPr>
      <t>N T</t>
    </r>
    <r>
      <rPr>
        <sz val="12"/>
        <rFont val="Calibri"/>
        <family val="2"/>
        <charset val="163"/>
      </rPr>
      <t>Ậ</t>
    </r>
    <r>
      <rPr>
        <sz val="12"/>
        <rFont val="微軟正黑體"/>
        <family val="2"/>
        <charset val="136"/>
      </rPr>
      <t xml:space="preserve">P </t>
    </r>
    <r>
      <rPr>
        <sz val="12"/>
        <rFont val="Segoe UI"/>
        <family val="2"/>
        <charset val="238"/>
      </rPr>
      <t>Đ</t>
    </r>
    <r>
      <rPr>
        <sz val="12"/>
        <rFont val="微軟正黑體"/>
        <family val="2"/>
        <charset val="136"/>
      </rPr>
      <t>OÀN CÔNG NGH</t>
    </r>
    <r>
      <rPr>
        <sz val="12"/>
        <rFont val="Calibri"/>
        <family val="2"/>
        <charset val="163"/>
      </rPr>
      <t>Ệ</t>
    </r>
    <r>
      <rPr>
        <sz val="12"/>
        <rFont val="微軟正黑體"/>
        <family val="2"/>
        <charset val="136"/>
      </rPr>
      <t xml:space="preserve"> BÍCH H</t>
    </r>
    <r>
      <rPr>
        <sz val="12"/>
        <rFont val="Calibri"/>
        <family val="2"/>
        <charset val="163"/>
      </rPr>
      <t>Ạ</t>
    </r>
    <r>
      <rPr>
        <sz val="12"/>
        <rFont val="微軟正黑體"/>
        <family val="2"/>
        <charset val="136"/>
      </rPr>
      <t>NH</t>
    </r>
    <phoneticPr fontId="37" type="noConversion"/>
  </si>
  <si>
    <t>CÔNG TY TNHH ECO PRIME VN</t>
    <phoneticPr fontId="37" type="noConversion"/>
  </si>
  <si>
    <t>Ông. Phước</t>
    <phoneticPr fontId="37" type="noConversion"/>
  </si>
  <si>
    <t>0967 154 039</t>
    <phoneticPr fontId="7" type="noConversion"/>
  </si>
  <si>
    <r>
      <t xml:space="preserve">1050/14 </t>
    </r>
    <r>
      <rPr>
        <sz val="12"/>
        <rFont val="Segoe UI"/>
        <family val="2"/>
        <charset val="238"/>
      </rPr>
      <t>Đư</t>
    </r>
    <r>
      <rPr>
        <sz val="12"/>
        <rFont val="Calibri"/>
        <family val="2"/>
        <charset val="163"/>
      </rPr>
      <t>ờ</t>
    </r>
    <r>
      <rPr>
        <sz val="12"/>
        <rFont val="微軟正黑體"/>
        <family val="2"/>
        <charset val="136"/>
      </rPr>
      <t>ng Ph</t>
    </r>
    <r>
      <rPr>
        <sz val="12"/>
        <rFont val="Calibri"/>
        <family val="2"/>
        <charset val="163"/>
      </rPr>
      <t>ạ</t>
    </r>
    <r>
      <rPr>
        <sz val="12"/>
        <rFont val="微軟正黑體"/>
        <family val="2"/>
        <charset val="136"/>
      </rPr>
      <t>m V</t>
    </r>
    <r>
      <rPr>
        <sz val="12"/>
        <rFont val="Segoe UI"/>
        <family val="2"/>
        <charset val="238"/>
      </rPr>
      <t>ă</t>
    </r>
    <r>
      <rPr>
        <sz val="12"/>
        <rFont val="微軟正黑體"/>
        <family val="2"/>
        <charset val="136"/>
      </rPr>
      <t xml:space="preserve">n </t>
    </r>
    <r>
      <rPr>
        <sz val="12"/>
        <rFont val="Segoe UI"/>
        <family val="2"/>
        <charset val="238"/>
      </rPr>
      <t>Đ</t>
    </r>
    <r>
      <rPr>
        <sz val="12"/>
        <rFont val="Calibri"/>
        <family val="2"/>
        <charset val="163"/>
      </rPr>
      <t>ồ</t>
    </r>
    <r>
      <rPr>
        <sz val="12"/>
        <rFont val="微軟正黑體"/>
        <family val="2"/>
        <charset val="136"/>
      </rPr>
      <t>ng, Khu ph</t>
    </r>
    <r>
      <rPr>
        <sz val="12"/>
        <rFont val="Calibri"/>
        <family val="2"/>
        <charset val="163"/>
      </rPr>
      <t>ố</t>
    </r>
    <r>
      <rPr>
        <sz val="12"/>
        <rFont val="微軟正黑體"/>
        <family val="2"/>
        <charset val="136"/>
      </rPr>
      <t xml:space="preserve"> 9, Ph</t>
    </r>
    <r>
      <rPr>
        <sz val="12"/>
        <rFont val="Segoe UI"/>
        <family val="2"/>
        <charset val="238"/>
      </rPr>
      <t>ư</t>
    </r>
    <r>
      <rPr>
        <sz val="12"/>
        <rFont val="Calibri"/>
        <family val="2"/>
        <charset val="163"/>
      </rPr>
      <t>ờ</t>
    </r>
    <r>
      <rPr>
        <sz val="12"/>
        <rFont val="微軟正黑體"/>
        <family val="2"/>
        <charset val="136"/>
      </rPr>
      <t>ng Hi</t>
    </r>
    <r>
      <rPr>
        <sz val="12"/>
        <rFont val="Calibri"/>
        <family val="2"/>
        <charset val="163"/>
      </rPr>
      <t>ệ</t>
    </r>
    <r>
      <rPr>
        <sz val="12"/>
        <rFont val="微軟正黑體"/>
        <family val="2"/>
        <charset val="136"/>
      </rPr>
      <t>p Bình, TP H</t>
    </r>
    <r>
      <rPr>
        <sz val="12"/>
        <rFont val="Calibri"/>
        <family val="2"/>
        <charset val="163"/>
      </rPr>
      <t>ồ</t>
    </r>
    <r>
      <rPr>
        <sz val="12"/>
        <rFont val="微軟正黑體"/>
        <family val="2"/>
        <charset val="136"/>
      </rPr>
      <t xml:space="preserve"> Chí Minh, Vi</t>
    </r>
    <r>
      <rPr>
        <sz val="12"/>
        <rFont val="Calibri"/>
        <family val="2"/>
        <charset val="163"/>
      </rPr>
      <t>ệ</t>
    </r>
    <r>
      <rPr>
        <sz val="12"/>
        <rFont val="微軟正黑體"/>
        <family val="2"/>
        <charset val="136"/>
      </rPr>
      <t>t Nam</t>
    </r>
    <phoneticPr fontId="37" type="noConversion"/>
  </si>
  <si>
    <r>
      <rPr>
        <sz val="12"/>
        <color theme="1"/>
        <rFont val="Calibri"/>
        <family val="2"/>
      </rPr>
      <t>Đồ</t>
    </r>
    <r>
      <rPr>
        <sz val="12"/>
        <color theme="1"/>
        <rFont val="微軟正黑體"/>
        <family val="2"/>
        <charset val="136"/>
      </rPr>
      <t>ng h</t>
    </r>
    <r>
      <rPr>
        <sz val="12"/>
        <color theme="1"/>
        <rFont val="Calibri"/>
        <family val="2"/>
      </rPr>
      <t>ồ</t>
    </r>
    <r>
      <rPr>
        <sz val="12"/>
        <color theme="1"/>
        <rFont val="微軟正黑體"/>
        <family val="2"/>
        <charset val="136"/>
      </rPr>
      <t xml:space="preserve"> </t>
    </r>
    <r>
      <rPr>
        <sz val="12"/>
        <color theme="1"/>
        <rFont val="Calibri"/>
        <family val="2"/>
      </rPr>
      <t>đ</t>
    </r>
    <r>
      <rPr>
        <sz val="12"/>
        <color theme="1"/>
        <rFont val="微軟正黑體"/>
        <family val="2"/>
        <charset val="136"/>
      </rPr>
      <t>a n</t>
    </r>
    <r>
      <rPr>
        <sz val="12"/>
        <color theme="1"/>
        <rFont val="Calibri"/>
        <family val="2"/>
      </rPr>
      <t>ă</t>
    </r>
    <r>
      <rPr>
        <sz val="12"/>
        <color theme="1"/>
        <rFont val="微軟正黑體"/>
        <family val="2"/>
        <charset val="136"/>
      </rPr>
      <t>ng 
多功能电表</t>
    </r>
    <phoneticPr fontId="7" type="noConversion"/>
  </si>
  <si>
    <t>進口關稅</t>
    <phoneticPr fontId="7" type="noConversion"/>
  </si>
  <si>
    <t>美金出口價</t>
    <phoneticPr fontId="7" type="noConversion"/>
  </si>
  <si>
    <t>運費7%</t>
    <phoneticPr fontId="7" type="noConversion"/>
  </si>
  <si>
    <t>進口稅率</t>
    <phoneticPr fontId="7" type="noConversion"/>
  </si>
  <si>
    <t>進貨成本單價</t>
    <phoneticPr fontId="7" type="noConversion"/>
  </si>
  <si>
    <t>總計成本</t>
    <phoneticPr fontId="7" type="noConversion"/>
  </si>
  <si>
    <r>
      <t>PH</t>
    </r>
    <r>
      <rPr>
        <sz val="12"/>
        <color rgb="FF0000FF"/>
        <rFont val="Segoe UI"/>
        <family val="2"/>
        <charset val="238"/>
      </rPr>
      <t>ƯƠ</t>
    </r>
    <r>
      <rPr>
        <sz val="12"/>
        <color rgb="FF0000FF"/>
        <rFont val="微軟正黑體"/>
        <family val="2"/>
        <charset val="136"/>
      </rPr>
      <t>NG ÁN 方案 1: 
C</t>
    </r>
    <r>
      <rPr>
        <sz val="12"/>
        <color rgb="FF0000FF"/>
        <rFont val="Calibri"/>
        <family val="2"/>
        <charset val="163"/>
      </rPr>
      <t>Ả</t>
    </r>
    <r>
      <rPr>
        <sz val="12"/>
        <color rgb="FF0000FF"/>
        <rFont val="微軟正黑體"/>
        <family val="2"/>
        <charset val="136"/>
      </rPr>
      <t>I T</t>
    </r>
    <r>
      <rPr>
        <sz val="12"/>
        <color rgb="FF0000FF"/>
        <rFont val="Calibri"/>
        <family val="2"/>
        <charset val="163"/>
      </rPr>
      <t>Ạ</t>
    </r>
    <r>
      <rPr>
        <sz val="12"/>
        <color rgb="FF0000FF"/>
        <rFont val="微軟正黑體"/>
        <family val="2"/>
        <charset val="136"/>
      </rPr>
      <t>O L</t>
    </r>
    <r>
      <rPr>
        <sz val="12"/>
        <color rgb="FF0000FF"/>
        <rFont val="Calibri"/>
        <family val="2"/>
        <charset val="163"/>
      </rPr>
      <t>Ạ</t>
    </r>
    <r>
      <rPr>
        <sz val="12"/>
        <color rgb="FF0000FF"/>
        <rFont val="微軟正黑體"/>
        <family val="2"/>
        <charset val="136"/>
      </rPr>
      <t>I CÁNH C</t>
    </r>
    <r>
      <rPr>
        <sz val="12"/>
        <color rgb="FF0000FF"/>
        <rFont val="Calibri"/>
        <family val="2"/>
        <charset val="163"/>
      </rPr>
      <t>Ử</t>
    </r>
    <r>
      <rPr>
        <sz val="12"/>
        <color rgb="FF0000FF"/>
        <rFont val="微軟正黑體"/>
        <family val="2"/>
        <charset val="136"/>
      </rPr>
      <t>A C</t>
    </r>
    <r>
      <rPr>
        <sz val="12"/>
        <color rgb="FF0000FF"/>
        <rFont val="Segoe UI"/>
        <family val="2"/>
        <charset val="238"/>
      </rPr>
      <t>Ũ</t>
    </r>
    <r>
      <rPr>
        <sz val="12"/>
        <color rgb="FF0000FF"/>
        <rFont val="微軟正黑體"/>
        <family val="2"/>
        <charset val="136"/>
      </rPr>
      <t xml:space="preserve"> 改造原有門板
(Option 1)</t>
    </r>
    <phoneticPr fontId="7" type="noConversion"/>
  </si>
  <si>
    <r>
      <t>PH</t>
    </r>
    <r>
      <rPr>
        <sz val="12"/>
        <color rgb="FF0000FF"/>
        <rFont val="Segoe UI"/>
        <family val="2"/>
        <charset val="238"/>
      </rPr>
      <t>ƯƠ</t>
    </r>
    <r>
      <rPr>
        <sz val="12"/>
        <color rgb="FF0000FF"/>
        <rFont val="微軟正黑體"/>
        <family val="2"/>
        <charset val="136"/>
      </rPr>
      <t>NG ÁN 方案 2: 
LM M</t>
    </r>
    <r>
      <rPr>
        <sz val="12"/>
        <color rgb="FF0000FF"/>
        <rFont val="Calibri"/>
        <family val="2"/>
        <charset val="163"/>
      </rPr>
      <t>Ớ</t>
    </r>
    <r>
      <rPr>
        <sz val="12"/>
        <color rgb="FF0000FF"/>
        <rFont val="微軟正黑體"/>
        <family val="2"/>
        <charset val="136"/>
      </rPr>
      <t>I CÁNH C</t>
    </r>
    <r>
      <rPr>
        <sz val="12"/>
        <color rgb="FF0000FF"/>
        <rFont val="Calibri"/>
        <family val="2"/>
        <charset val="163"/>
      </rPr>
      <t>Ử</t>
    </r>
    <r>
      <rPr>
        <sz val="12"/>
        <color rgb="FF0000FF"/>
        <rFont val="微軟正黑體"/>
        <family val="2"/>
        <charset val="136"/>
      </rPr>
      <t>A C</t>
    </r>
    <r>
      <rPr>
        <sz val="12"/>
        <color rgb="FF0000FF"/>
        <rFont val="Segoe UI"/>
        <family val="2"/>
        <charset val="238"/>
      </rPr>
      <t xml:space="preserve">Ũ
</t>
    </r>
    <r>
      <rPr>
        <sz val="12"/>
        <color rgb="FF0000FF"/>
        <rFont val="微軟正黑體"/>
        <family val="2"/>
        <charset val="136"/>
      </rPr>
      <t>重新製作門板
(Option 2)</t>
    </r>
    <phoneticPr fontId="7" type="noConversion"/>
  </si>
  <si>
    <r>
      <t xml:space="preserve"> C</t>
    </r>
    <r>
      <rPr>
        <sz val="12"/>
        <color rgb="FF0000FF"/>
        <rFont val="Calibri"/>
        <family val="2"/>
        <charset val="163"/>
      </rPr>
      <t>Ả</t>
    </r>
    <r>
      <rPr>
        <sz val="12"/>
        <color rgb="FF0000FF"/>
        <rFont val="微軟正黑體"/>
        <family val="2"/>
        <charset val="136"/>
      </rPr>
      <t>I T</t>
    </r>
    <r>
      <rPr>
        <sz val="12"/>
        <color rgb="FF0000FF"/>
        <rFont val="Calibri"/>
        <family val="2"/>
        <charset val="163"/>
      </rPr>
      <t>Ạ</t>
    </r>
    <r>
      <rPr>
        <sz val="12"/>
        <color rgb="FF0000FF"/>
        <rFont val="微軟正黑體"/>
        <family val="2"/>
        <charset val="136"/>
      </rPr>
      <t>O L</t>
    </r>
    <r>
      <rPr>
        <sz val="12"/>
        <color rgb="FF0000FF"/>
        <rFont val="Calibri"/>
        <family val="2"/>
        <charset val="163"/>
      </rPr>
      <t>Ạ</t>
    </r>
    <r>
      <rPr>
        <sz val="12"/>
        <color rgb="FF0000FF"/>
        <rFont val="微軟正黑體"/>
        <family val="2"/>
        <charset val="136"/>
      </rPr>
      <t>I CÁNH C</t>
    </r>
    <r>
      <rPr>
        <sz val="12"/>
        <color rgb="FF0000FF"/>
        <rFont val="Calibri"/>
        <family val="2"/>
        <charset val="163"/>
      </rPr>
      <t>Ử</t>
    </r>
    <r>
      <rPr>
        <sz val="12"/>
        <color rgb="FF0000FF"/>
        <rFont val="微軟正黑體"/>
        <family val="2"/>
        <charset val="136"/>
      </rPr>
      <t>A C</t>
    </r>
    <r>
      <rPr>
        <sz val="12"/>
        <color rgb="FF0000FF"/>
        <rFont val="Segoe UI"/>
        <family val="2"/>
        <charset val="238"/>
      </rPr>
      <t>Ũ</t>
    </r>
    <r>
      <rPr>
        <sz val="12"/>
        <color rgb="FF0000FF"/>
        <rFont val="微軟正黑體"/>
        <family val="2"/>
        <charset val="136"/>
      </rPr>
      <t xml:space="preserve"> 改造原有門板</t>
    </r>
    <phoneticPr fontId="7" type="noConversion"/>
  </si>
  <si>
    <r>
      <t>_x001A_M M</t>
    </r>
    <r>
      <rPr>
        <sz val="12"/>
        <color rgb="FF0000FF"/>
        <rFont val="Calibri"/>
        <family val="2"/>
        <charset val="163"/>
      </rPr>
      <t>Ớ</t>
    </r>
    <r>
      <rPr>
        <sz val="12"/>
        <color rgb="FF0000FF"/>
        <rFont val="微軟正黑體"/>
        <family val="2"/>
        <charset val="136"/>
      </rPr>
      <t>I CÁNH C</t>
    </r>
    <r>
      <rPr>
        <sz val="12"/>
        <color rgb="FF0000FF"/>
        <rFont val="Calibri"/>
        <family val="2"/>
        <charset val="163"/>
      </rPr>
      <t>Ử</t>
    </r>
    <r>
      <rPr>
        <sz val="12"/>
        <color rgb="FF0000FF"/>
        <rFont val="微軟正黑體"/>
        <family val="2"/>
        <charset val="136"/>
      </rPr>
      <t>A C</t>
    </r>
    <r>
      <rPr>
        <sz val="12"/>
        <color rgb="FF0000FF"/>
        <rFont val="Segoe UI"/>
        <family val="2"/>
        <charset val="238"/>
      </rPr>
      <t xml:space="preserve">Ũ
</t>
    </r>
    <r>
      <rPr>
        <sz val="12"/>
        <color rgb="FF0000FF"/>
        <rFont val="微軟正黑體"/>
        <family val="2"/>
        <charset val="136"/>
      </rPr>
      <t>重新製作門板</t>
    </r>
    <phoneticPr fontId="7" type="noConversion"/>
  </si>
  <si>
    <r>
      <t>PH</t>
    </r>
    <r>
      <rPr>
        <sz val="12"/>
        <color rgb="FF0000FF"/>
        <rFont val="Segoe UI"/>
        <family val="2"/>
        <charset val="238"/>
      </rPr>
      <t>ƯƠ</t>
    </r>
    <r>
      <rPr>
        <sz val="12"/>
        <color rgb="FF0000FF"/>
        <rFont val="微軟正黑體"/>
        <family val="2"/>
        <charset val="136"/>
      </rPr>
      <t>NG ÁN 1: C</t>
    </r>
    <r>
      <rPr>
        <sz val="12"/>
        <color rgb="FF0000FF"/>
        <rFont val="Calibri"/>
        <family val="2"/>
        <charset val="163"/>
      </rPr>
      <t>Ả</t>
    </r>
    <r>
      <rPr>
        <sz val="12"/>
        <color rgb="FF0000FF"/>
        <rFont val="微軟正黑體"/>
        <family val="2"/>
        <charset val="136"/>
      </rPr>
      <t>I T</t>
    </r>
    <r>
      <rPr>
        <sz val="12"/>
        <color rgb="FF0000FF"/>
        <rFont val="Calibri"/>
        <family val="2"/>
        <charset val="163"/>
      </rPr>
      <t>Ạ</t>
    </r>
    <r>
      <rPr>
        <sz val="12"/>
        <color rgb="FF0000FF"/>
        <rFont val="微軟正黑體"/>
        <family val="2"/>
        <charset val="136"/>
      </rPr>
      <t>O L</t>
    </r>
    <r>
      <rPr>
        <sz val="12"/>
        <color rgb="FF0000FF"/>
        <rFont val="Calibri"/>
        <family val="2"/>
        <charset val="163"/>
      </rPr>
      <t>Ạ</t>
    </r>
    <r>
      <rPr>
        <sz val="12"/>
        <color rgb="FF0000FF"/>
        <rFont val="微軟正黑體"/>
        <family val="2"/>
        <charset val="136"/>
      </rPr>
      <t>I CÁNH C</t>
    </r>
    <r>
      <rPr>
        <sz val="12"/>
        <color rgb="FF0000FF"/>
        <rFont val="Calibri"/>
        <family val="2"/>
        <charset val="163"/>
      </rPr>
      <t>Ử</t>
    </r>
    <r>
      <rPr>
        <sz val="12"/>
        <color rgb="FF0000FF"/>
        <rFont val="微軟正黑體"/>
        <family val="2"/>
        <charset val="136"/>
      </rPr>
      <t>A C</t>
    </r>
    <r>
      <rPr>
        <sz val="12"/>
        <color rgb="FF0000FF"/>
        <rFont val="Segoe UI"/>
        <family val="2"/>
        <charset val="238"/>
      </rPr>
      <t>Ũ</t>
    </r>
    <r>
      <rPr>
        <sz val="12"/>
        <color rgb="FF0000FF"/>
        <rFont val="微軟正黑體"/>
        <family val="2"/>
        <charset val="136"/>
      </rPr>
      <t xml:space="preserve"> 改造原有門板
- Tháo g</t>
    </r>
    <r>
      <rPr>
        <sz val="12"/>
        <color rgb="FF0000FF"/>
        <rFont val="Calibri"/>
        <family val="2"/>
        <charset val="163"/>
      </rPr>
      <t>ỡ</t>
    </r>
    <r>
      <rPr>
        <sz val="12"/>
        <color rgb="FF0000FF"/>
        <rFont val="微軟正黑體"/>
        <family val="2"/>
        <charset val="136"/>
      </rPr>
      <t>, mang v</t>
    </r>
    <r>
      <rPr>
        <sz val="12"/>
        <color rgb="FF0000FF"/>
        <rFont val="Calibri"/>
        <family val="2"/>
        <charset val="163"/>
      </rPr>
      <t>ề</t>
    </r>
    <r>
      <rPr>
        <sz val="12"/>
        <color rgb="FF0000FF"/>
        <rFont val="微軟正黑體"/>
        <family val="2"/>
        <charset val="136"/>
      </rPr>
      <t xml:space="preserve"> c</t>
    </r>
    <r>
      <rPr>
        <sz val="12"/>
        <color rgb="FF0000FF"/>
        <rFont val="Calibri"/>
        <family val="2"/>
        <charset val="163"/>
      </rPr>
      <t>ả</t>
    </r>
    <r>
      <rPr>
        <sz val="12"/>
        <color rgb="FF0000FF"/>
        <rFont val="微軟正黑體"/>
        <family val="2"/>
        <charset val="136"/>
      </rPr>
      <t>i t</t>
    </r>
    <r>
      <rPr>
        <sz val="12"/>
        <color rgb="FF0000FF"/>
        <rFont val="Calibri"/>
        <family val="2"/>
        <charset val="163"/>
      </rPr>
      <t>ạ</t>
    </r>
    <r>
      <rPr>
        <sz val="12"/>
        <color rgb="FF0000FF"/>
        <rFont val="微軟正黑體"/>
        <family val="2"/>
        <charset val="136"/>
      </rPr>
      <t>o l</t>
    </r>
    <r>
      <rPr>
        <sz val="12"/>
        <color rgb="FF0000FF"/>
        <rFont val="Calibri"/>
        <family val="2"/>
        <charset val="163"/>
      </rPr>
      <t>ỗ</t>
    </r>
    <r>
      <rPr>
        <sz val="12"/>
        <color rgb="FF0000FF"/>
        <rFont val="微軟正黑體"/>
        <family val="2"/>
        <charset val="136"/>
      </rPr>
      <t xml:space="preserve"> khoét l</t>
    </r>
    <r>
      <rPr>
        <sz val="12"/>
        <color rgb="FF0000FF"/>
        <rFont val="Calibri"/>
        <family val="2"/>
        <charset val="163"/>
      </rPr>
      <t>ớ</t>
    </r>
    <r>
      <rPr>
        <sz val="12"/>
        <color rgb="FF0000FF"/>
        <rFont val="微軟正黑體"/>
        <family val="2"/>
        <charset val="136"/>
      </rPr>
      <t>n 拆卸原有門板，運回加工廠擴大開孔。
- G</t>
    </r>
    <r>
      <rPr>
        <sz val="12"/>
        <color rgb="FF0000FF"/>
        <rFont val="Calibri"/>
        <family val="2"/>
        <charset val="163"/>
      </rPr>
      <t>ắ</t>
    </r>
    <r>
      <rPr>
        <sz val="12"/>
        <color rgb="FF0000FF"/>
        <rFont val="微軟正黑體"/>
        <family val="2"/>
        <charset val="136"/>
      </rPr>
      <t>n ron cao su và mica 加裝橡膠密封條（Rubber Gasket）及壓克力透明板（Mica）。
- L</t>
    </r>
    <r>
      <rPr>
        <sz val="12"/>
        <color rgb="FF0000FF"/>
        <rFont val="Calibri"/>
        <family val="2"/>
        <charset val="163"/>
      </rPr>
      <t>ắ</t>
    </r>
    <r>
      <rPr>
        <sz val="12"/>
        <color rgb="FF0000FF"/>
        <rFont val="微軟正黑體"/>
        <family val="2"/>
        <charset val="136"/>
      </rPr>
      <t xml:space="preserve">p </t>
    </r>
    <r>
      <rPr>
        <sz val="12"/>
        <color rgb="FF0000FF"/>
        <rFont val="Segoe UI"/>
        <family val="2"/>
        <charset val="238"/>
      </rPr>
      <t>đ</t>
    </r>
    <r>
      <rPr>
        <sz val="12"/>
        <color rgb="FF0000FF"/>
        <rFont val="Calibri"/>
        <family val="2"/>
        <charset val="163"/>
      </rPr>
      <t>ặ</t>
    </r>
    <r>
      <rPr>
        <sz val="12"/>
        <color rgb="FF0000FF"/>
        <rFont val="微軟正黑體"/>
        <family val="2"/>
        <charset val="136"/>
      </rPr>
      <t>t 現場安裝。</t>
    </r>
    <phoneticPr fontId="7" type="noConversion"/>
  </si>
  <si>
    <r>
      <t>PH</t>
    </r>
    <r>
      <rPr>
        <sz val="12"/>
        <color rgb="FF0000FF"/>
        <rFont val="Segoe UI"/>
        <family val="2"/>
        <charset val="238"/>
      </rPr>
      <t>ƯƠ</t>
    </r>
    <r>
      <rPr>
        <sz val="12"/>
        <color rgb="FF0000FF"/>
        <rFont val="微軟正黑體"/>
        <family val="2"/>
        <charset val="136"/>
      </rPr>
      <t>NG ÁN 2: L_x001A_M M</t>
    </r>
    <r>
      <rPr>
        <sz val="12"/>
        <color rgb="FF0000FF"/>
        <rFont val="Calibri"/>
        <family val="2"/>
        <charset val="163"/>
      </rPr>
      <t>Ớ</t>
    </r>
    <r>
      <rPr>
        <sz val="12"/>
        <color rgb="FF0000FF"/>
        <rFont val="微軟正黑體"/>
        <family val="2"/>
        <charset val="136"/>
      </rPr>
      <t>I CÁNH C</t>
    </r>
    <r>
      <rPr>
        <sz val="12"/>
        <color rgb="FF0000FF"/>
        <rFont val="Calibri"/>
        <family val="2"/>
        <charset val="163"/>
      </rPr>
      <t>Ử</t>
    </r>
    <r>
      <rPr>
        <sz val="12"/>
        <color rgb="FF0000FF"/>
        <rFont val="微軟正黑體"/>
        <family val="2"/>
        <charset val="136"/>
      </rPr>
      <t>A C</t>
    </r>
    <r>
      <rPr>
        <sz val="12"/>
        <color rgb="FF0000FF"/>
        <rFont val="Segoe UI"/>
        <family val="2"/>
        <charset val="238"/>
      </rPr>
      <t>Ũ</t>
    </r>
    <r>
      <rPr>
        <sz val="12"/>
        <color rgb="FF0000FF"/>
        <rFont val="微軟正黑體"/>
        <family val="2"/>
        <charset val="136"/>
      </rPr>
      <t xml:space="preserve"> 保留原門板，重新製作門板
- Kh</t>
    </r>
    <r>
      <rPr>
        <sz val="12"/>
        <color rgb="FF0000FF"/>
        <rFont val="Calibri"/>
        <family val="2"/>
        <charset val="163"/>
      </rPr>
      <t>ả</t>
    </r>
    <r>
      <rPr>
        <sz val="12"/>
        <color rgb="FF0000FF"/>
        <rFont val="微軟正黑體"/>
        <family val="2"/>
        <charset val="136"/>
      </rPr>
      <t xml:space="preserve">o sát , </t>
    </r>
    <r>
      <rPr>
        <sz val="12"/>
        <color rgb="FF0000FF"/>
        <rFont val="Segoe UI"/>
        <family val="2"/>
        <charset val="238"/>
      </rPr>
      <t>đ</t>
    </r>
    <r>
      <rPr>
        <sz val="12"/>
        <color rgb="FF0000FF"/>
        <rFont val="微軟正黑體"/>
        <family val="2"/>
        <charset val="136"/>
      </rPr>
      <t>o v</t>
    </r>
    <r>
      <rPr>
        <sz val="12"/>
        <color rgb="FF0000FF"/>
        <rFont val="Calibri"/>
        <family val="2"/>
        <charset val="163"/>
      </rPr>
      <t>ẽ</t>
    </r>
    <r>
      <rPr>
        <sz val="12"/>
        <color rgb="FF0000FF"/>
        <rFont val="微軟正黑體"/>
        <family val="2"/>
        <charset val="136"/>
      </rPr>
      <t xml:space="preserve"> và l</t>
    </r>
    <r>
      <rPr>
        <sz val="12"/>
        <color rgb="FF0000FF"/>
        <rFont val="Calibri"/>
        <family val="2"/>
        <charset val="163"/>
      </rPr>
      <t>ấ</t>
    </r>
    <r>
      <rPr>
        <sz val="12"/>
        <color rgb="FF0000FF"/>
        <rFont val="微軟正黑體"/>
        <family val="2"/>
        <charset val="136"/>
      </rPr>
      <t>y m</t>
    </r>
    <r>
      <rPr>
        <sz val="12"/>
        <color rgb="FF0000FF"/>
        <rFont val="Calibri"/>
        <family val="2"/>
        <charset val="163"/>
      </rPr>
      <t>ẫ</t>
    </r>
    <r>
      <rPr>
        <sz val="12"/>
        <color rgb="FF0000FF"/>
        <rFont val="微軟正黑體"/>
        <family val="2"/>
        <charset val="136"/>
      </rPr>
      <t>u 現場勘查、尺寸丈量及樣品確認。
- Gia công cánh c</t>
    </r>
    <r>
      <rPr>
        <sz val="12"/>
        <color rgb="FF0000FF"/>
        <rFont val="Calibri"/>
        <family val="2"/>
        <charset val="163"/>
      </rPr>
      <t>ử</t>
    </r>
    <r>
      <rPr>
        <sz val="12"/>
        <color rgb="FF0000FF"/>
        <rFont val="微軟正黑體"/>
        <family val="2"/>
        <charset val="136"/>
      </rPr>
      <t>a m</t>
    </r>
    <r>
      <rPr>
        <sz val="12"/>
        <color rgb="FF0000FF"/>
        <rFont val="Calibri"/>
        <family val="2"/>
        <charset val="163"/>
      </rPr>
      <t>ớ</t>
    </r>
    <r>
      <rPr>
        <sz val="12"/>
        <color rgb="FF0000FF"/>
        <rFont val="微軟正黑體"/>
        <family val="2"/>
        <charset val="136"/>
      </rPr>
      <t>i 製作新的門板。 
- L</t>
    </r>
    <r>
      <rPr>
        <sz val="12"/>
        <color rgb="FF0000FF"/>
        <rFont val="Calibri"/>
        <family val="2"/>
        <charset val="163"/>
      </rPr>
      <t>ắ</t>
    </r>
    <r>
      <rPr>
        <sz val="12"/>
        <color rgb="FF0000FF"/>
        <rFont val="微軟正黑體"/>
        <family val="2"/>
        <charset val="136"/>
      </rPr>
      <t xml:space="preserve">p </t>
    </r>
    <r>
      <rPr>
        <sz val="12"/>
        <color rgb="FF0000FF"/>
        <rFont val="Segoe UI"/>
        <family val="2"/>
        <charset val="238"/>
      </rPr>
      <t>đ</t>
    </r>
    <r>
      <rPr>
        <sz val="12"/>
        <color rgb="FF0000FF"/>
        <rFont val="Calibri"/>
        <family val="2"/>
        <charset val="163"/>
      </rPr>
      <t>ặ</t>
    </r>
    <r>
      <rPr>
        <sz val="12"/>
        <color rgb="FF0000FF"/>
        <rFont val="微軟正黑體"/>
        <family val="2"/>
        <charset val="136"/>
      </rPr>
      <t>t 現場安裝。</t>
    </r>
    <phoneticPr fontId="7" type="noConversion"/>
  </si>
  <si>
    <r>
      <t>T</t>
    </r>
    <r>
      <rPr>
        <b/>
        <sz val="12"/>
        <color theme="1"/>
        <rFont val="Calibri"/>
        <family val="2"/>
        <charset val="163"/>
      </rPr>
      <t>ạ</t>
    </r>
    <r>
      <rPr>
        <b/>
        <sz val="12"/>
        <color theme="1"/>
        <rFont val="Microsoft YaHei"/>
        <family val="2"/>
        <charset val="134"/>
      </rPr>
      <t>m tính 小計</t>
    </r>
    <phoneticPr fontId="7" type="noConversion"/>
  </si>
  <si>
    <r>
      <t>T</t>
    </r>
    <r>
      <rPr>
        <b/>
        <sz val="12"/>
        <color theme="1"/>
        <rFont val="Calibri"/>
        <family val="2"/>
        <charset val="163"/>
      </rPr>
      <t>ổ</t>
    </r>
    <r>
      <rPr>
        <b/>
        <sz val="12"/>
        <color theme="1"/>
        <rFont val="Microsoft YaHei"/>
        <family val="2"/>
        <charset val="134"/>
      </rPr>
      <t>ng c</t>
    </r>
    <r>
      <rPr>
        <b/>
        <sz val="12"/>
        <color theme="1"/>
        <rFont val="Calibri"/>
        <family val="2"/>
        <charset val="163"/>
      </rPr>
      <t>ộ</t>
    </r>
    <r>
      <rPr>
        <b/>
        <sz val="12"/>
        <color theme="1"/>
        <rFont val="Microsoft YaHei"/>
        <family val="2"/>
        <charset val="134"/>
      </rPr>
      <t>ng 總金額</t>
    </r>
    <phoneticPr fontId="7" type="noConversion"/>
  </si>
  <si>
    <r>
      <t>Thu</t>
    </r>
    <r>
      <rPr>
        <b/>
        <sz val="12"/>
        <color theme="1"/>
        <rFont val="Microsoft YaHei"/>
        <family val="2"/>
      </rPr>
      <t>ế</t>
    </r>
    <r>
      <rPr>
        <b/>
        <sz val="12"/>
        <color theme="1"/>
        <rFont val="Microsoft YaHei"/>
        <family val="2"/>
        <charset val="134"/>
      </rPr>
      <t xml:space="preserve"> VAT 8%</t>
    </r>
    <r>
      <rPr>
        <b/>
        <sz val="12"/>
        <color theme="1"/>
        <rFont val="Microsoft YaHei"/>
        <family val="2"/>
      </rPr>
      <t xml:space="preserve"> </t>
    </r>
    <r>
      <rPr>
        <b/>
        <sz val="12"/>
        <color theme="1"/>
        <rFont val="Microsoft YaHei"/>
        <family val="2"/>
        <charset val="134"/>
      </rPr>
      <t>增值稅</t>
    </r>
    <phoneticPr fontId="7" type="noConversion"/>
  </si>
  <si>
    <t>◆ 備註聲明</t>
    <phoneticPr fontId="7" type="noConversion"/>
  </si>
  <si>
    <r>
      <t>1. 以上報價交期：報價單簽回後，另日程安排後回覆；
   Thời gian giao hàng của báo giá trên: 
            sau khi báo giá đ</t>
    </r>
    <r>
      <rPr>
        <b/>
        <sz val="11"/>
        <color theme="1"/>
        <rFont val="Arial"/>
        <family val="2"/>
      </rPr>
      <t>ư</t>
    </r>
    <r>
      <rPr>
        <b/>
        <sz val="11"/>
        <color theme="1"/>
        <rFont val="Microsoft YaHei"/>
        <family val="2"/>
        <charset val="134"/>
      </rPr>
      <t>ợc ký và gửi lại, lịch trình cụ thể sẽ đ</t>
    </r>
    <r>
      <rPr>
        <b/>
        <sz val="11"/>
        <color theme="1"/>
        <rFont val="Arial"/>
        <family val="2"/>
      </rPr>
      <t>ư</t>
    </r>
    <r>
      <rPr>
        <b/>
        <sz val="11"/>
        <color theme="1"/>
        <rFont val="Microsoft YaHei"/>
        <family val="2"/>
        <charset val="134"/>
      </rPr>
      <t>ợc thông báo sau;</t>
    </r>
    <phoneticPr fontId="7" type="noConversion"/>
  </si>
  <si>
    <r>
      <t>2. 報價有效期限：2026/8/14 止，報價簽回視同專案確認，不可任意終止、取消本專案；</t>
    </r>
    <r>
      <rPr>
        <b/>
        <sz val="11"/>
        <color rgb="FF0000FF"/>
        <rFont val="Microsoft YaHei"/>
        <family val="2"/>
        <charset val="134"/>
      </rPr>
      <t>交貨後保固一年</t>
    </r>
    <r>
      <rPr>
        <b/>
        <sz val="11"/>
        <color theme="1"/>
        <rFont val="Microsoft YaHei"/>
        <family val="2"/>
        <charset val="134"/>
      </rPr>
      <t xml:space="preserve">
    Thời hạn hiệu lực của báo giá: đ</t>
    </r>
    <r>
      <rPr>
        <b/>
        <sz val="11"/>
        <color theme="1"/>
        <rFont val="Arial"/>
        <family val="2"/>
      </rPr>
      <t>ế</t>
    </r>
    <r>
      <rPr>
        <b/>
        <sz val="11"/>
        <color theme="1"/>
        <rFont val="Microsoft YaHei"/>
        <family val="2"/>
        <charset val="134"/>
      </rPr>
      <t>n h</t>
    </r>
    <r>
      <rPr>
        <b/>
        <sz val="11"/>
        <color theme="1"/>
        <rFont val="Arial"/>
        <family val="2"/>
      </rPr>
      <t>ế</t>
    </r>
    <r>
      <rPr>
        <b/>
        <sz val="11"/>
        <color theme="1"/>
        <rFont val="Microsoft YaHei"/>
        <family val="2"/>
        <charset val="134"/>
      </rPr>
      <t>t ngày 14/8/2026. Việc ký và gửi lại báo giá đ</t>
    </r>
    <r>
      <rPr>
        <b/>
        <sz val="11"/>
        <color theme="1"/>
        <rFont val="Arial"/>
        <family val="2"/>
      </rPr>
      <t>ư</t>
    </r>
    <r>
      <rPr>
        <b/>
        <sz val="11"/>
        <color theme="1"/>
        <rFont val="Microsoft YaHei"/>
        <family val="2"/>
        <charset val="134"/>
      </rPr>
      <t>ợc xem là xác nhận dự án, 
    không đ</t>
    </r>
    <r>
      <rPr>
        <b/>
        <sz val="11"/>
        <color theme="1"/>
        <rFont val="Arial"/>
        <family val="2"/>
      </rPr>
      <t>ư</t>
    </r>
    <r>
      <rPr>
        <b/>
        <sz val="11"/>
        <color theme="1"/>
        <rFont val="Microsoft YaHei"/>
        <family val="2"/>
        <charset val="134"/>
      </rPr>
      <t>ợc phép đ</t>
    </r>
    <r>
      <rPr>
        <b/>
        <sz val="11"/>
        <color theme="1"/>
        <rFont val="Arial"/>
        <family val="2"/>
      </rPr>
      <t>ơ</t>
    </r>
    <r>
      <rPr>
        <b/>
        <sz val="11"/>
        <color theme="1"/>
        <rFont val="Microsoft YaHei"/>
        <family val="2"/>
        <charset val="134"/>
      </rPr>
      <t>n ph</t>
    </r>
    <r>
      <rPr>
        <b/>
        <sz val="11"/>
        <color theme="1"/>
        <rFont val="Arial"/>
        <family val="2"/>
      </rPr>
      <t>ươ</t>
    </r>
    <r>
      <rPr>
        <b/>
        <sz val="11"/>
        <color theme="1"/>
        <rFont val="Microsoft YaHei"/>
        <family val="2"/>
        <charset val="134"/>
      </rPr>
      <t xml:space="preserve">ng chấm dứt hoặc hủy bỏ dự án này; </t>
    </r>
    <r>
      <rPr>
        <b/>
        <sz val="11"/>
        <color rgb="FF0000FF"/>
        <rFont val="Microsoft YaHei"/>
        <family val="2"/>
        <charset val="134"/>
      </rPr>
      <t>Bảo hành 1 năm kể từ ngày giao hàng.</t>
    </r>
    <phoneticPr fontId="7" type="noConversion"/>
  </si>
  <si>
    <t>合計成本</t>
    <phoneticPr fontId="7" type="noConversion"/>
  </si>
  <si>
    <t>利潤</t>
    <phoneticPr fontId="7" type="noConversion"/>
  </si>
  <si>
    <r>
      <t xml:space="preserve">% </t>
    </r>
    <r>
      <rPr>
        <sz val="12"/>
        <rFont val="細明體"/>
        <family val="2"/>
        <charset val="136"/>
      </rPr>
      <t>利潤</t>
    </r>
    <phoneticPr fontId="7" type="noConversion"/>
  </si>
  <si>
    <r>
      <rPr>
        <b/>
        <sz val="12"/>
        <color indexed="60"/>
        <rFont val="微軟正黑體"/>
        <family val="2"/>
        <charset val="136"/>
      </rPr>
      <t xml:space="preserve">※客戶確認 </t>
    </r>
    <r>
      <rPr>
        <b/>
        <sz val="12"/>
        <color rgb="FF993300"/>
        <rFont val="Arial"/>
        <family val="2"/>
      </rPr>
      <t>Xác nh</t>
    </r>
    <r>
      <rPr>
        <b/>
        <sz val="12"/>
        <color rgb="FF993300"/>
        <rFont val="Calibri"/>
        <family val="2"/>
        <charset val="163"/>
      </rPr>
      <t>ậ</t>
    </r>
    <r>
      <rPr>
        <b/>
        <sz val="12"/>
        <color rgb="FF993300"/>
        <rFont val="Arial"/>
        <family val="2"/>
      </rPr>
      <t>n khách hàng</t>
    </r>
    <phoneticPr fontId="7" type="noConversion"/>
  </si>
  <si>
    <r>
      <rPr>
        <b/>
        <sz val="11"/>
        <color rgb="FF9C6500"/>
        <rFont val="微軟正黑體"/>
        <family val="2"/>
        <charset val="136"/>
      </rPr>
      <t>（請簽名用印）</t>
    </r>
    <r>
      <rPr>
        <b/>
        <sz val="11"/>
        <color rgb="FF9C6500"/>
        <rFont val="Arial"/>
        <family val="2"/>
      </rPr>
      <t xml:space="preserve"> Ch</t>
    </r>
    <r>
      <rPr>
        <b/>
        <sz val="11"/>
        <color rgb="FF9C6500"/>
        <rFont val="Calibri"/>
        <family val="2"/>
        <charset val="163"/>
      </rPr>
      <t>ữ</t>
    </r>
    <r>
      <rPr>
        <b/>
        <sz val="11"/>
        <color rgb="FF9C6500"/>
        <rFont val="Arial"/>
        <family val="2"/>
      </rPr>
      <t xml:space="preserve"> ký và con d</t>
    </r>
    <r>
      <rPr>
        <b/>
        <sz val="11"/>
        <color rgb="FF9C6500"/>
        <rFont val="Calibri"/>
        <family val="2"/>
        <charset val="163"/>
      </rPr>
      <t>ấ</t>
    </r>
    <r>
      <rPr>
        <b/>
        <sz val="11"/>
        <color rgb="FF9C6500"/>
        <rFont val="Arial"/>
        <family val="2"/>
      </rPr>
      <t>u</t>
    </r>
    <phoneticPr fontId="7" type="noConversion"/>
  </si>
  <si>
    <r>
      <t>Bi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n dòng CT-100SB, 100A, lo</t>
    </r>
    <r>
      <rPr>
        <sz val="12"/>
        <color theme="1"/>
        <rFont val="Calibri"/>
        <family val="2"/>
      </rPr>
      <t>ạ</t>
    </r>
    <r>
      <rPr>
        <sz val="12"/>
        <color theme="1"/>
        <rFont val="微軟正黑體"/>
        <family val="2"/>
        <charset val="136"/>
      </rPr>
      <t>i k</t>
    </r>
    <r>
      <rPr>
        <sz val="12"/>
        <color theme="1"/>
        <rFont val="Calibri"/>
        <family val="2"/>
      </rPr>
      <t>ẹ</t>
    </r>
    <r>
      <rPr>
        <sz val="12"/>
        <color theme="1"/>
        <rFont val="微軟正黑體"/>
        <family val="2"/>
        <charset val="136"/>
      </rPr>
      <t xml:space="preserve">p/split-core, hãng DAE. </t>
    </r>
    <r>
      <rPr>
        <sz val="12"/>
        <color rgb="FFFF0000"/>
        <rFont val="微軟正黑體"/>
        <family val="2"/>
        <charset val="136"/>
      </rPr>
      <t>Dùng cho CB 60A, 80A, 100A - 32 CB x 3 pha.</t>
    </r>
    <r>
      <rPr>
        <sz val="12"/>
        <color theme="1"/>
        <rFont val="微軟正黑體"/>
        <family val="2"/>
        <charset val="136"/>
      </rPr>
      <t xml:space="preserve">
电流互感器CT-100SB,100A,扣式/split-core,DAE品牌。</t>
    </r>
    <r>
      <rPr>
        <sz val="12"/>
        <color rgb="FFFF0000"/>
        <rFont val="微軟正黑體"/>
        <family val="2"/>
        <charset val="136"/>
      </rPr>
      <t>适用于60A、80A、100A开关-共32个开关x3相。</t>
    </r>
    <phoneticPr fontId="7" type="noConversion"/>
  </si>
  <si>
    <r>
      <t>Bi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n dòng CT-200SB, 200A, lo</t>
    </r>
    <r>
      <rPr>
        <sz val="12"/>
        <color theme="1"/>
        <rFont val="Calibri"/>
        <family val="2"/>
      </rPr>
      <t>ạ</t>
    </r>
    <r>
      <rPr>
        <sz val="12"/>
        <color theme="1"/>
        <rFont val="微軟正黑體"/>
        <family val="2"/>
        <charset val="136"/>
      </rPr>
      <t>i k</t>
    </r>
    <r>
      <rPr>
        <sz val="12"/>
        <color theme="1"/>
        <rFont val="Calibri"/>
        <family val="2"/>
      </rPr>
      <t>ẹ</t>
    </r>
    <r>
      <rPr>
        <sz val="12"/>
        <color theme="1"/>
        <rFont val="微軟正黑體"/>
        <family val="2"/>
        <charset val="136"/>
      </rPr>
      <t xml:space="preserve">p/split-core, hãng DAE. </t>
    </r>
    <r>
      <rPr>
        <sz val="12"/>
        <color rgb="FFFF0000"/>
        <rFont val="微軟正黑體"/>
        <family val="2"/>
        <charset val="136"/>
      </rPr>
      <t>Dùng cho CB 125A, 150/160A - 4 CB x 3 pha.</t>
    </r>
    <r>
      <rPr>
        <sz val="12"/>
        <color theme="1"/>
        <rFont val="微軟正黑體"/>
        <family val="2"/>
        <charset val="136"/>
      </rPr>
      <t xml:space="preserve">
电流互感器CT-200SB,200A,扣式/split-core,DAE品牌。</t>
    </r>
    <r>
      <rPr>
        <sz val="12"/>
        <color rgb="FFFF0000"/>
        <rFont val="微軟正黑體"/>
        <family val="2"/>
        <charset val="136"/>
      </rPr>
      <t>适用于125A、150/160A开关-共4个开关x3相</t>
    </r>
    <r>
      <rPr>
        <sz val="12"/>
        <color theme="1"/>
        <rFont val="微軟正黑體"/>
        <family val="2"/>
        <charset val="136"/>
      </rPr>
      <t>。</t>
    </r>
    <phoneticPr fontId="7" type="noConversion"/>
  </si>
  <si>
    <r>
      <t>B</t>
    </r>
    <r>
      <rPr>
        <sz val="12"/>
        <color theme="1"/>
        <rFont val="Calibri"/>
        <family val="2"/>
      </rPr>
      <t>ộ</t>
    </r>
    <r>
      <rPr>
        <sz val="12"/>
        <color theme="1"/>
        <rFont val="微軟正黑體"/>
        <family val="2"/>
        <charset val="136"/>
      </rPr>
      <t xml:space="preserve"> chuy</t>
    </r>
    <r>
      <rPr>
        <sz val="12"/>
        <color theme="1"/>
        <rFont val="Calibri"/>
        <family val="2"/>
      </rPr>
      <t>ể</t>
    </r>
    <r>
      <rPr>
        <sz val="12"/>
        <color theme="1"/>
        <rFont val="微軟正黑體"/>
        <family val="2"/>
        <charset val="136"/>
      </rPr>
      <t xml:space="preserve">n </t>
    </r>
    <r>
      <rPr>
        <sz val="12"/>
        <color theme="1"/>
        <rFont val="Calibri"/>
        <family val="2"/>
      </rPr>
      <t>đổ</t>
    </r>
    <r>
      <rPr>
        <sz val="12"/>
        <color theme="1"/>
        <rFont val="微軟正黑體"/>
        <family val="2"/>
        <charset val="136"/>
      </rPr>
      <t xml:space="preserve">i Modbus RTU (RS485) sang Modbus TCP (Ethernet), </t>
    </r>
    <r>
      <rPr>
        <sz val="12"/>
        <color theme="1"/>
        <rFont val="Calibri"/>
        <family val="2"/>
      </rPr>
      <t>đặ</t>
    </r>
    <r>
      <rPr>
        <sz val="12"/>
        <color theme="1"/>
        <rFont val="微軟正黑體"/>
        <family val="2"/>
        <charset val="136"/>
      </rPr>
      <t>t t</t>
    </r>
    <r>
      <rPr>
        <sz val="12"/>
        <color theme="1"/>
        <rFont val="Calibri"/>
        <family val="2"/>
      </rPr>
      <t>ạ</t>
    </r>
    <r>
      <rPr>
        <sz val="12"/>
        <color theme="1"/>
        <rFont val="微軟正黑體"/>
        <family val="2"/>
        <charset val="136"/>
      </rPr>
      <t>i phòng k</t>
    </r>
    <r>
      <rPr>
        <sz val="12"/>
        <color theme="1"/>
        <rFont val="Calibri"/>
        <family val="2"/>
      </rPr>
      <t>ỹ</t>
    </r>
    <r>
      <rPr>
        <sz val="12"/>
        <color theme="1"/>
        <rFont val="微軟正黑體"/>
        <family val="2"/>
        <charset val="136"/>
      </rPr>
      <t xml:space="preserve"> thu</t>
    </r>
    <r>
      <rPr>
        <sz val="12"/>
        <color theme="1"/>
        <rFont val="Calibri"/>
        <family val="2"/>
      </rPr>
      <t>ậ</t>
    </r>
    <r>
      <rPr>
        <sz val="12"/>
        <color theme="1"/>
        <rFont val="微軟正黑體"/>
        <family val="2"/>
        <charset val="136"/>
      </rPr>
      <t>t, k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t n</t>
    </r>
    <r>
      <rPr>
        <sz val="12"/>
        <color theme="1"/>
        <rFont val="Calibri"/>
        <family val="2"/>
      </rPr>
      <t>ố</t>
    </r>
    <r>
      <rPr>
        <sz val="12"/>
        <color theme="1"/>
        <rFont val="微軟正黑體"/>
        <family val="2"/>
        <charset val="136"/>
      </rPr>
      <t>i lên ph</t>
    </r>
    <r>
      <rPr>
        <sz val="12"/>
        <color theme="1"/>
        <rFont val="Calibri"/>
        <family val="2"/>
      </rPr>
      <t>ầ</t>
    </r>
    <r>
      <rPr>
        <sz val="12"/>
        <color theme="1"/>
        <rFont val="微軟正黑體"/>
        <family val="2"/>
        <charset val="136"/>
      </rPr>
      <t>n m</t>
    </r>
    <r>
      <rPr>
        <sz val="12"/>
        <color theme="1"/>
        <rFont val="Calibri"/>
        <family val="2"/>
      </rPr>
      <t>ề</t>
    </r>
    <r>
      <rPr>
        <sz val="12"/>
        <color theme="1"/>
        <rFont val="微軟正黑體"/>
        <family val="2"/>
        <charset val="136"/>
      </rPr>
      <t>m giám sát SMB/IQA. (+1 b</t>
    </r>
    <r>
      <rPr>
        <sz val="12"/>
        <color theme="1"/>
        <rFont val="Calibri"/>
        <family val="2"/>
      </rPr>
      <t>ộ</t>
    </r>
    <r>
      <rPr>
        <sz val="12"/>
        <color theme="1"/>
        <rFont val="微軟正黑體"/>
        <family val="2"/>
        <charset val="136"/>
      </rPr>
      <t xml:space="preserve"> d</t>
    </r>
    <r>
      <rPr>
        <sz val="12"/>
        <color theme="1"/>
        <rFont val="Calibri"/>
        <family val="2"/>
      </rPr>
      <t>ự</t>
    </r>
    <r>
      <rPr>
        <sz val="12"/>
        <color theme="1"/>
        <rFont val="微軟正黑體"/>
        <family val="2"/>
        <charset val="136"/>
      </rPr>
      <t xml:space="preserve"> phòng n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u c</t>
    </r>
    <r>
      <rPr>
        <sz val="12"/>
        <color theme="1"/>
        <rFont val="Calibri"/>
        <family val="2"/>
      </rPr>
      <t>ầ</t>
    </r>
    <r>
      <rPr>
        <sz val="12"/>
        <color theme="1"/>
        <rFont val="微軟正黑體"/>
        <family val="2"/>
        <charset val="136"/>
      </rPr>
      <t>n).
Modbus RTU(RS485)转Modbus TCP(以太网)转换器,安装于技术机房,连接至SMB/IQA监控软件。(如需可加1台备用)。</t>
    </r>
    <phoneticPr fontId="7" type="noConversion"/>
  </si>
  <si>
    <r>
      <t>Bi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n dòng CT-50SB, 50A, lo</t>
    </r>
    <r>
      <rPr>
        <sz val="12"/>
        <color theme="1"/>
        <rFont val="Calibri"/>
        <family val="2"/>
      </rPr>
      <t>ạ</t>
    </r>
    <r>
      <rPr>
        <sz val="12"/>
        <color theme="1"/>
        <rFont val="微軟正黑體"/>
        <family val="2"/>
        <charset val="136"/>
      </rPr>
      <t>i k</t>
    </r>
    <r>
      <rPr>
        <sz val="12"/>
        <color theme="1"/>
        <rFont val="Calibri"/>
        <family val="2"/>
      </rPr>
      <t>ẹ</t>
    </r>
    <r>
      <rPr>
        <sz val="12"/>
        <color theme="1"/>
        <rFont val="微軟正黑體"/>
        <family val="2"/>
        <charset val="136"/>
      </rPr>
      <t xml:space="preserve">p/split-core, hãng DAE. </t>
    </r>
    <r>
      <rPr>
        <sz val="12"/>
        <color rgb="FFFF0000"/>
        <rFont val="微軟正黑體"/>
        <family val="2"/>
        <charset val="136"/>
      </rPr>
      <t>Dùng cho CB 25A, 32A, 40A, 50A - 58 CB x 3 pha.</t>
    </r>
    <r>
      <rPr>
        <sz val="12"/>
        <color theme="1"/>
        <rFont val="微軟正黑體"/>
        <family val="2"/>
        <charset val="136"/>
      </rPr>
      <t xml:space="preserve">
电流互感器CT-50SB,50A,扣式/split-core,DAE品牌。</t>
    </r>
    <r>
      <rPr>
        <sz val="12"/>
        <color rgb="FFFF0000"/>
        <rFont val="微軟正黑體"/>
        <family val="2"/>
        <charset val="136"/>
      </rPr>
      <t>适用于25A、32A、40A、50A开关-共58个开关x3相。</t>
    </r>
    <phoneticPr fontId="7" type="noConversion"/>
  </si>
  <si>
    <r>
      <t>Bi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n dòng CT (Window -Type)
电流互感器(套式)</t>
    </r>
    <phoneticPr fontId="7" type="noConversion"/>
  </si>
  <si>
    <r>
      <t>Bi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n dòng CT-50D3 (50A)
电流互感器CT-50D3(50A)</t>
    </r>
    <phoneticPr fontId="7" type="noConversion"/>
  </si>
  <si>
    <r>
      <t>Bi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n dòng CT-100D3 (100A)
电流互感器CT-100D3(100A)</t>
    </r>
    <phoneticPr fontId="7" type="noConversion"/>
  </si>
  <si>
    <r>
      <t>Bi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n dòng CT-200D3(200A)
电流互感器CT-200D3(200A)</t>
    </r>
    <phoneticPr fontId="7" type="noConversion"/>
  </si>
  <si>
    <r>
      <rPr>
        <sz val="12"/>
        <color theme="1"/>
        <rFont val="Calibri"/>
        <family val="2"/>
      </rPr>
      <t>Đồ</t>
    </r>
    <r>
      <rPr>
        <sz val="12"/>
        <color theme="1"/>
        <rFont val="微軟正黑體"/>
        <family val="2"/>
        <charset val="136"/>
      </rPr>
      <t>ng h</t>
    </r>
    <r>
      <rPr>
        <sz val="12"/>
        <color theme="1"/>
        <rFont val="Calibri"/>
        <family val="2"/>
      </rPr>
      <t>ồ</t>
    </r>
    <r>
      <rPr>
        <sz val="12"/>
        <color theme="1"/>
        <rFont val="微軟正黑體"/>
        <family val="2"/>
        <charset val="136"/>
      </rPr>
      <t xml:space="preserve"> </t>
    </r>
    <r>
      <rPr>
        <sz val="12"/>
        <color theme="1"/>
        <rFont val="Calibri"/>
        <family val="2"/>
      </rPr>
      <t>đ</t>
    </r>
    <r>
      <rPr>
        <sz val="12"/>
        <color theme="1"/>
        <rFont val="微軟正黑體"/>
        <family val="2"/>
        <charset val="136"/>
      </rPr>
      <t>a n</t>
    </r>
    <r>
      <rPr>
        <sz val="12"/>
        <color theme="1"/>
        <rFont val="Calibri"/>
        <family val="2"/>
      </rPr>
      <t>ă</t>
    </r>
    <r>
      <rPr>
        <sz val="12"/>
        <color theme="1"/>
        <rFont val="微軟正黑體"/>
        <family val="2"/>
        <charset val="136"/>
      </rPr>
      <t xml:space="preserve">ng SMB150, mã </t>
    </r>
    <r>
      <rPr>
        <sz val="12"/>
        <color theme="1"/>
        <rFont val="Calibri"/>
        <family val="2"/>
      </rPr>
      <t>đặ</t>
    </r>
    <r>
      <rPr>
        <sz val="12"/>
        <color theme="1"/>
        <rFont val="微軟正黑體"/>
        <family val="2"/>
        <charset val="136"/>
      </rPr>
      <t>t hàng SMB150-8-B (8 kênh 3 pha, ghép s</t>
    </r>
    <r>
      <rPr>
        <sz val="12"/>
        <color theme="1"/>
        <rFont val="Calibri"/>
        <family val="2"/>
      </rPr>
      <t>ẵ</t>
    </r>
    <r>
      <rPr>
        <sz val="12"/>
        <color theme="1"/>
        <rFont val="微軟正黑體"/>
        <family val="2"/>
        <charset val="136"/>
      </rPr>
      <t>n CT chuyên d</t>
    </r>
    <r>
      <rPr>
        <sz val="12"/>
        <color theme="1"/>
        <rFont val="Calibri"/>
        <family val="2"/>
      </rPr>
      <t>ụ</t>
    </r>
    <r>
      <rPr>
        <sz val="12"/>
        <color theme="1"/>
        <rFont val="微軟正黑體"/>
        <family val="2"/>
        <charset val="136"/>
      </rPr>
      <t>ng 50~600A, giao ti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p Modbus RTU/RS485). 1 b</t>
    </r>
    <r>
      <rPr>
        <sz val="12"/>
        <color theme="1"/>
        <rFont val="Calibri"/>
        <family val="2"/>
      </rPr>
      <t>ộ</t>
    </r>
    <r>
      <rPr>
        <sz val="12"/>
        <color theme="1"/>
        <rFont val="微軟正黑體"/>
        <family val="2"/>
        <charset val="136"/>
      </rPr>
      <t xml:space="preserve"> / t</t>
    </r>
    <r>
      <rPr>
        <sz val="12"/>
        <color theme="1"/>
        <rFont val="Calibri"/>
        <family val="2"/>
      </rPr>
      <t>ủ</t>
    </r>
    <r>
      <rPr>
        <sz val="12"/>
        <color theme="1"/>
        <rFont val="微軟正黑體"/>
        <family val="2"/>
        <charset val="136"/>
      </rPr>
      <t xml:space="preserve"> </t>
    </r>
    <r>
      <rPr>
        <sz val="12"/>
        <color theme="1"/>
        <rFont val="Calibri"/>
        <family val="2"/>
      </rPr>
      <t>đ</t>
    </r>
    <r>
      <rPr>
        <sz val="12"/>
        <color theme="1"/>
        <rFont val="微軟正黑體"/>
        <family val="2"/>
        <charset val="136"/>
      </rPr>
      <t>i</t>
    </r>
    <r>
      <rPr>
        <sz val="12"/>
        <color theme="1"/>
        <rFont val="Calibri"/>
        <family val="2"/>
      </rPr>
      <t>ệ</t>
    </r>
    <r>
      <rPr>
        <sz val="12"/>
        <color theme="1"/>
        <rFont val="微軟正黑體"/>
        <family val="2"/>
        <charset val="136"/>
      </rPr>
      <t>n (DB1~DB18).
SMB150多功能电表,订货型号SMB150-8-B(8路三相通道,配套50~600A专用CT,Modbus RTU/RS485通讯)。每柜1台(DB1~DB18)。</t>
    </r>
    <phoneticPr fontId="7" type="noConversion"/>
  </si>
  <si>
    <r>
      <t>Bi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n dòng CT-50D3, 50A, lo</t>
    </r>
    <r>
      <rPr>
        <sz val="12"/>
        <color theme="1"/>
        <rFont val="Calibri"/>
        <family val="2"/>
      </rPr>
      <t>ạ</t>
    </r>
    <r>
      <rPr>
        <sz val="12"/>
        <color theme="1"/>
        <rFont val="微軟正黑體"/>
        <family val="2"/>
        <charset val="136"/>
      </rPr>
      <t>i ki</t>
    </r>
    <r>
      <rPr>
        <sz val="12"/>
        <color theme="1"/>
        <rFont val="Calibri"/>
        <family val="2"/>
        <charset val="163"/>
      </rPr>
      <t>ể</t>
    </r>
    <r>
      <rPr>
        <sz val="12"/>
        <color theme="1"/>
        <rFont val="微軟正黑體"/>
        <family val="2"/>
        <charset val="136"/>
      </rPr>
      <t xml:space="preserve">u vòng/Window -Type, hãng DAE. </t>
    </r>
    <r>
      <rPr>
        <sz val="12"/>
        <color rgb="FFFF0000"/>
        <rFont val="微軟正黑體"/>
        <family val="2"/>
        <charset val="136"/>
      </rPr>
      <t>Dùng cho CB 25A, 32A, 40A, 50A - 58 CB x 3 pha.</t>
    </r>
    <r>
      <rPr>
        <sz val="12"/>
        <color theme="1"/>
        <rFont val="微軟正黑體"/>
        <family val="2"/>
        <charset val="136"/>
      </rPr>
      <t xml:space="preserve">
电流互感器CT-50D3,50A,套式/Window -Type,DAE品牌。</t>
    </r>
    <r>
      <rPr>
        <sz val="12"/>
        <color rgb="FFFF0000"/>
        <rFont val="微軟正黑體"/>
        <family val="2"/>
        <charset val="136"/>
      </rPr>
      <t>适用于25A、32A、40A、50A开关-共58个开关x3相。</t>
    </r>
    <phoneticPr fontId="7" type="noConversion"/>
  </si>
  <si>
    <r>
      <t>Bi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n dòng CT-100D3, 100A, lo</t>
    </r>
    <r>
      <rPr>
        <sz val="12"/>
        <color theme="1"/>
        <rFont val="Calibri"/>
        <family val="2"/>
      </rPr>
      <t>ạ</t>
    </r>
    <r>
      <rPr>
        <sz val="12"/>
        <color theme="1"/>
        <rFont val="微軟正黑體"/>
        <family val="2"/>
        <charset val="136"/>
      </rPr>
      <t>i ki</t>
    </r>
    <r>
      <rPr>
        <sz val="12"/>
        <color theme="1"/>
        <rFont val="Calibri"/>
        <family val="2"/>
        <charset val="163"/>
      </rPr>
      <t>ể</t>
    </r>
    <r>
      <rPr>
        <sz val="12"/>
        <color theme="1"/>
        <rFont val="微軟正黑體"/>
        <family val="2"/>
        <charset val="136"/>
      </rPr>
      <t xml:space="preserve">u vòng/Window -Type, hãng DAE. </t>
    </r>
    <r>
      <rPr>
        <sz val="12"/>
        <color rgb="FFFF0000"/>
        <rFont val="微軟正黑體"/>
        <family val="2"/>
        <charset val="136"/>
      </rPr>
      <t>Dùng cho CB 60A, 80A, 100A - 32 CB x 3 pha.</t>
    </r>
    <r>
      <rPr>
        <sz val="12"/>
        <color theme="1"/>
        <rFont val="微軟正黑體"/>
        <family val="2"/>
        <charset val="136"/>
      </rPr>
      <t xml:space="preserve">
电流互感器CT-100D3,100A,套式/Window -Type,DAE品牌。</t>
    </r>
    <r>
      <rPr>
        <sz val="12"/>
        <color rgb="FFFF0000"/>
        <rFont val="微軟正黑體"/>
        <family val="2"/>
        <charset val="136"/>
      </rPr>
      <t>适用于60A、80A、100A开关-共32个开关x3相。</t>
    </r>
    <phoneticPr fontId="7" type="noConversion"/>
  </si>
  <si>
    <r>
      <t>Bi</t>
    </r>
    <r>
      <rPr>
        <sz val="12"/>
        <color theme="1"/>
        <rFont val="Calibri"/>
        <family val="2"/>
      </rPr>
      <t>ế</t>
    </r>
    <r>
      <rPr>
        <sz val="12"/>
        <color theme="1"/>
        <rFont val="微軟正黑體"/>
        <family val="2"/>
        <charset val="136"/>
      </rPr>
      <t>n dòng CT-200D3, 200A, lo</t>
    </r>
    <r>
      <rPr>
        <sz val="12"/>
        <color theme="1"/>
        <rFont val="Calibri"/>
        <family val="2"/>
      </rPr>
      <t>ạ</t>
    </r>
    <r>
      <rPr>
        <sz val="12"/>
        <color theme="1"/>
        <rFont val="微軟正黑體"/>
        <family val="2"/>
        <charset val="136"/>
      </rPr>
      <t>i ki</t>
    </r>
    <r>
      <rPr>
        <sz val="12"/>
        <color theme="1"/>
        <rFont val="Calibri"/>
        <family val="2"/>
        <charset val="163"/>
      </rPr>
      <t>ể</t>
    </r>
    <r>
      <rPr>
        <sz val="12"/>
        <color theme="1"/>
        <rFont val="微軟正黑體"/>
        <family val="2"/>
        <charset val="136"/>
      </rPr>
      <t xml:space="preserve">u vòng/Window -Type, hãng DAE. </t>
    </r>
    <r>
      <rPr>
        <sz val="12"/>
        <color rgb="FFFF0000"/>
        <rFont val="微軟正黑體"/>
        <family val="2"/>
        <charset val="136"/>
      </rPr>
      <t>Dùng cho CB 125A, 150/160A - 4 CB x 3 pha.</t>
    </r>
    <r>
      <rPr>
        <sz val="12"/>
        <color theme="1"/>
        <rFont val="微軟正黑體"/>
        <family val="2"/>
        <charset val="136"/>
      </rPr>
      <t xml:space="preserve">
电流互感器CT-200D3,200A,套式/Window -Type ,DAE品牌。</t>
    </r>
    <r>
      <rPr>
        <sz val="12"/>
        <color rgb="FFFF0000"/>
        <rFont val="微軟正黑體"/>
        <family val="2"/>
        <charset val="136"/>
      </rPr>
      <t>适用于125A、150/160A开关-共4个开关x3相。</t>
    </r>
    <phoneticPr fontId="7" type="noConversion"/>
  </si>
  <si>
    <r>
      <rPr>
        <b/>
        <sz val="11"/>
        <color rgb="FFFF0000"/>
        <rFont val="微軟正黑體"/>
        <family val="2"/>
        <charset val="136"/>
      </rPr>
      <t>3</t>
    </r>
    <r>
      <rPr>
        <b/>
        <sz val="11"/>
        <color rgb="FFFF0000"/>
        <rFont val="Microsoft YaHei"/>
        <family val="2"/>
        <charset val="134"/>
      </rPr>
      <t>. 付款方式 : 訂金 35%、 交貨 55%、驗收 10% TT30Day。
     Đi</t>
    </r>
    <r>
      <rPr>
        <b/>
        <sz val="11"/>
        <color rgb="FFFF0000"/>
        <rFont val="Calibri"/>
        <family val="2"/>
      </rPr>
      <t>ề</t>
    </r>
    <r>
      <rPr>
        <b/>
        <sz val="11"/>
        <color rgb="FFFF0000"/>
        <rFont val="Microsoft YaHei"/>
        <family val="2"/>
        <charset val="134"/>
      </rPr>
      <t>u kho</t>
    </r>
    <r>
      <rPr>
        <b/>
        <sz val="11"/>
        <color rgb="FFFF0000"/>
        <rFont val="Calibri"/>
        <family val="2"/>
      </rPr>
      <t>ả</t>
    </r>
    <r>
      <rPr>
        <b/>
        <sz val="11"/>
        <color rgb="FFFF0000"/>
        <rFont val="Microsoft YaHei"/>
        <family val="2"/>
        <charset val="134"/>
      </rPr>
      <t>n thanh toán:  [Đ</t>
    </r>
    <r>
      <rPr>
        <b/>
        <sz val="11"/>
        <color rgb="FFFF0000"/>
        <rFont val="Calibri"/>
        <family val="2"/>
      </rPr>
      <t>ặ</t>
    </r>
    <r>
      <rPr>
        <b/>
        <sz val="11"/>
        <color rgb="FFFF0000"/>
        <rFont val="Microsoft YaHei"/>
        <family val="2"/>
        <charset val="134"/>
      </rPr>
      <t>t c</t>
    </r>
    <r>
      <rPr>
        <b/>
        <sz val="11"/>
        <color rgb="FFFF0000"/>
        <rFont val="Calibri"/>
        <family val="2"/>
      </rPr>
      <t>ọ</t>
    </r>
    <r>
      <rPr>
        <b/>
        <sz val="11"/>
        <color rgb="FFFF0000"/>
        <rFont val="Microsoft YaHei"/>
        <family val="2"/>
        <charset val="134"/>
      </rPr>
      <t>c: 35%, Khi giao hàng: 55%, Sau khi nghi</t>
    </r>
    <r>
      <rPr>
        <b/>
        <sz val="11"/>
        <color rgb="FFFF0000"/>
        <rFont val="Calibri"/>
        <family val="2"/>
      </rPr>
      <t>ệ</t>
    </r>
    <r>
      <rPr>
        <b/>
        <sz val="11"/>
        <color rgb="FFFF0000"/>
        <rFont val="Microsoft YaHei"/>
        <family val="2"/>
        <charset val="134"/>
      </rPr>
      <t>m thu: Thanh toán 10% còn l</t>
    </r>
    <r>
      <rPr>
        <b/>
        <sz val="11"/>
        <color rgb="FFFF0000"/>
        <rFont val="Calibri"/>
        <family val="2"/>
      </rPr>
      <t>ạ</t>
    </r>
    <r>
      <rPr>
        <b/>
        <sz val="11"/>
        <color rgb="FFFF0000"/>
        <rFont val="Microsoft YaHei"/>
        <family val="2"/>
        <charset val="134"/>
      </rPr>
      <t>i theo đi</t>
    </r>
    <r>
      <rPr>
        <b/>
        <sz val="11"/>
        <color rgb="FFFF0000"/>
        <rFont val="Calibri"/>
        <family val="2"/>
      </rPr>
      <t>ề</t>
    </r>
    <r>
      <rPr>
        <b/>
        <sz val="11"/>
        <color rgb="FFFF0000"/>
        <rFont val="Microsoft YaHei"/>
        <family val="2"/>
        <charset val="134"/>
      </rPr>
      <t>u kho</t>
    </r>
    <r>
      <rPr>
        <b/>
        <sz val="11"/>
        <color rgb="FFFF0000"/>
        <rFont val="Calibri"/>
        <family val="2"/>
      </rPr>
      <t>ả</t>
    </r>
    <r>
      <rPr>
        <b/>
        <sz val="11"/>
        <color rgb="FFFF0000"/>
        <rFont val="Microsoft YaHei"/>
        <family val="2"/>
        <charset val="134"/>
      </rPr>
      <t>n TT 30 ngày (TT30 Days).]</t>
    </r>
    <phoneticPr fontId="37" type="noConversion"/>
  </si>
  <si>
    <t>運費總計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</si>
</sst>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4" formatCode="_(&quot;$&quot;* #,##0.00_);_(&quot;$&quot;* \(#,##0.00\);_(&quot;$&quot;* &quot;-&quot;??_);_(@_)"/>
    <numFmt numFmtId="25" formatCode="&quot;US$&quot;#,##0.00_);\(&quot;US$&quot;#,##0.00\)"/>
    <numFmt numFmtId="176" formatCode="_-&quot;$&quot;* #,##0.00_-;\-&quot;$&quot;* #,##0.00_-;_-&quot;$&quot;* &quot;-&quot;??_-;_-@_-"/>
    <numFmt numFmtId="177" formatCode="_-&quot;$&quot;* #,##0_-;\-&quot;$&quot;* #,##0_-;_-&quot;$&quot;* &quot;-&quot;??_-;_-@_-"/>
    <numFmt numFmtId="178" formatCode="_(&quot;$&quot;* #,##0_);_(&quot;$&quot;* \(#,##0\);_(&quot;$&quot;* &quot;-&quot;??_);_(@_)"/>
    <numFmt numFmtId="179" formatCode="[$VND]\ #,##0_);\([$VND]\ #,##0\)"/>
    <numFmt numFmtId="180" formatCode="&quot;US$&quot;#,##0.0_);\(&quot;US$&quot;#,##0.0\)"/>
    <numFmt numFmtId="182" formatCode="_(\$* #,##0_);_(\$* \(#,##0\);_(\$* \-??_);_(@_)"/>
    <numFmt numFmtId="183" formatCode="0&quot; BỘ &quot;"/>
    <numFmt numFmtId="184" formatCode="0&quot; CÁI &quot;"/>
    <numFmt numFmtId="185" formatCode="0\ &quot;Bộ&quot;"/>
    <numFmt numFmtId="186" formatCode="&quot;Exchange Rate USD&quot;\ #,#00"/>
  </numFmts>
  <fonts count="71">
    <font>
      <sz val="12"/>
      <name val="新細明體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1"/>
      <color rgb="FF9C6500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0"/>
      <name val="Arial"/>
      <family val="2"/>
    </font>
    <font>
      <sz val="11"/>
      <color rgb="FF9C6500"/>
      <name val="Arial"/>
      <family val="2"/>
    </font>
    <font>
      <sz val="10"/>
      <name val="微軟正黑體"/>
      <family val="2"/>
      <charset val="136"/>
    </font>
    <font>
      <sz val="11"/>
      <name val="Arial"/>
      <family val="2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細明體"/>
      <family val="3"/>
      <charset val="136"/>
    </font>
    <font>
      <sz val="10"/>
      <color rgb="FF9C6500"/>
      <name val="Arial"/>
      <family val="2"/>
    </font>
    <font>
      <b/>
      <sz val="11"/>
      <color theme="1"/>
      <name val="Arial"/>
      <family val="2"/>
    </font>
    <font>
      <b/>
      <sz val="16"/>
      <color theme="0"/>
      <name val="微軟正黑體"/>
      <family val="2"/>
      <charset val="136"/>
    </font>
    <font>
      <u/>
      <sz val="12"/>
      <color indexed="12"/>
      <name val="微軟正黑體"/>
      <family val="2"/>
      <charset val="136"/>
    </font>
    <font>
      <b/>
      <sz val="12"/>
      <color rgb="FF000000"/>
      <name val="Calibri"/>
      <family val="2"/>
      <charset val="163"/>
    </font>
    <font>
      <b/>
      <sz val="12"/>
      <name val="Calibri"/>
      <family val="2"/>
      <charset val="163"/>
    </font>
    <font>
      <b/>
      <sz val="12"/>
      <name val="Segoe UI"/>
      <family val="2"/>
      <charset val="238"/>
    </font>
    <font>
      <b/>
      <sz val="12"/>
      <name val="Calibri"/>
      <family val="2"/>
    </font>
    <font>
      <b/>
      <sz val="12"/>
      <name val="微軟正黑體"/>
      <family val="2"/>
      <charset val="238"/>
    </font>
    <font>
      <b/>
      <sz val="12"/>
      <color rgb="FF00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1"/>
      <name val="Calibri"/>
      <family val="2"/>
      <charset val="163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63"/>
    </font>
    <font>
      <sz val="12"/>
      <name val="Segoe UI"/>
      <family val="2"/>
      <charset val="238"/>
    </font>
    <font>
      <b/>
      <sz val="14"/>
      <color theme="0"/>
      <name val="微軟正黑體"/>
      <family val="2"/>
      <charset val="136"/>
    </font>
    <font>
      <b/>
      <sz val="14"/>
      <color theme="0"/>
      <name val="Segoe UI"/>
      <family val="2"/>
      <charset val="238"/>
    </font>
    <font>
      <b/>
      <sz val="14"/>
      <color theme="0"/>
      <name val="Calibri"/>
      <family val="2"/>
      <charset val="163"/>
    </font>
    <font>
      <b/>
      <sz val="16"/>
      <color theme="0"/>
      <name val="Calibri"/>
      <family val="2"/>
      <charset val="163"/>
    </font>
    <font>
      <sz val="9"/>
      <name val="新細明體"/>
      <family val="1"/>
    </font>
    <font>
      <sz val="12"/>
      <name val="VNI-Times"/>
      <family val="2"/>
    </font>
    <font>
      <b/>
      <sz val="14"/>
      <color theme="1"/>
      <name val="微軟正黑體"/>
      <family val="2"/>
      <charset val="136"/>
    </font>
    <font>
      <b/>
      <sz val="14"/>
      <color theme="1"/>
      <name val="Calibri"/>
      <family val="2"/>
      <charset val="163"/>
    </font>
    <font>
      <b/>
      <sz val="14"/>
      <color rgb="FF0000FF"/>
      <name val="Arial"/>
      <family val="2"/>
    </font>
    <font>
      <u/>
      <sz val="12"/>
      <color rgb="FF0000FF"/>
      <name val="Calibri"/>
      <family val="2"/>
      <charset val="163"/>
    </font>
    <font>
      <sz val="12"/>
      <name val="新細明體"/>
      <family val="1"/>
      <charset val="136"/>
    </font>
    <font>
      <b/>
      <sz val="12"/>
      <color theme="1"/>
      <name val="Noto Sans CJK SC"/>
      <family val="2"/>
      <charset val="1"/>
    </font>
    <font>
      <b/>
      <sz val="14"/>
      <color theme="1"/>
      <name val="Segoe UI"/>
      <family val="2"/>
      <charset val="238"/>
    </font>
    <font>
      <sz val="12"/>
      <color theme="1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Calibri"/>
      <family val="2"/>
    </font>
    <font>
      <sz val="12"/>
      <color theme="1"/>
      <name val="微軟正黑體"/>
      <family val="2"/>
      <charset val="136"/>
    </font>
    <font>
      <sz val="12"/>
      <name val="細明體"/>
      <family val="2"/>
      <charset val="136"/>
    </font>
    <font>
      <sz val="12"/>
      <color rgb="FF0000FF"/>
      <name val="Segoe UI"/>
      <family val="2"/>
      <charset val="238"/>
    </font>
    <font>
      <sz val="12"/>
      <color rgb="FF0000FF"/>
      <name val="Calibri"/>
      <family val="2"/>
      <charset val="163"/>
    </font>
    <font>
      <b/>
      <sz val="11"/>
      <color theme="1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b/>
      <sz val="12"/>
      <color theme="1"/>
      <name val="Microsoft YaHei"/>
      <family val="2"/>
    </font>
    <font>
      <b/>
      <sz val="11"/>
      <color rgb="FF0000FF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b/>
      <sz val="12"/>
      <color rgb="FF9C6500"/>
      <name val="Arial"/>
      <family val="2"/>
      <charset val="136"/>
    </font>
    <font>
      <b/>
      <sz val="12"/>
      <color indexed="60"/>
      <name val="微軟正黑體"/>
      <family val="2"/>
      <charset val="136"/>
    </font>
    <font>
      <b/>
      <sz val="12"/>
      <color rgb="FF993300"/>
      <name val="Arial"/>
      <family val="2"/>
    </font>
    <font>
      <b/>
      <sz val="12"/>
      <color rgb="FF993300"/>
      <name val="Calibri"/>
      <family val="2"/>
      <charset val="163"/>
    </font>
    <font>
      <b/>
      <sz val="11"/>
      <color rgb="FF9C6500"/>
      <name val="Arial"/>
      <family val="2"/>
      <charset val="136"/>
    </font>
    <font>
      <b/>
      <sz val="11"/>
      <color rgb="FF9C6500"/>
      <name val="微軟正黑體"/>
      <family val="2"/>
      <charset val="136"/>
    </font>
    <font>
      <b/>
      <sz val="11"/>
      <color rgb="FF9C6500"/>
      <name val="Arial"/>
      <family val="2"/>
    </font>
    <font>
      <b/>
      <sz val="11"/>
      <color rgb="FF9C6500"/>
      <name val="Calibri"/>
      <family val="2"/>
      <charset val="163"/>
    </font>
    <font>
      <sz val="12"/>
      <color rgb="FFFF0000"/>
      <name val="微軟正黑體"/>
      <family val="2"/>
      <charset val="136"/>
    </font>
    <font>
      <sz val="12"/>
      <color theme="1"/>
      <name val="Calibri"/>
      <family val="2"/>
      <charset val="163"/>
    </font>
    <font>
      <b/>
      <sz val="11"/>
      <color rgb="FFFF0000"/>
      <name val="Calibri"/>
      <family val="2"/>
    </font>
    <font>
      <b/>
      <sz val="11"/>
      <color rgb="FFFF0000"/>
      <name val="微軟正黑體"/>
      <family val="2"/>
      <charset val="136"/>
    </font>
    <font>
      <b/>
      <sz val="11"/>
      <color rgb="FFFF0000"/>
      <name val="Microsoft YaHe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2F2F2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9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4" fontId="3" fillId="0" borderId="0" applyFont="0" applyFill="0" applyBorder="0" applyAlignment="0" applyProtection="0">
      <alignment vertical="center"/>
    </xf>
    <xf numFmtId="0" fontId="6" fillId="0" borderId="0"/>
    <xf numFmtId="0" fontId="5" fillId="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/>
    <xf numFmtId="0" fontId="38" fillId="0" borderId="0"/>
    <xf numFmtId="0" fontId="9" fillId="0" borderId="0"/>
    <xf numFmtId="9" fontId="43" fillId="0" borderId="0" applyFont="0" applyFill="0" applyBorder="0" applyAlignment="0" applyProtection="0">
      <alignment vertical="center"/>
    </xf>
  </cellStyleXfs>
  <cellXfs count="107">
    <xf numFmtId="0" fontId="0" fillId="0" borderId="0" xfId="0"/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3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77" fontId="8" fillId="0" borderId="0" xfId="0" applyNumberFormat="1" applyFont="1" applyAlignment="1">
      <alignment vertical="center"/>
    </xf>
    <xf numFmtId="176" fontId="8" fillId="0" borderId="0" xfId="0" applyNumberFormat="1" applyFont="1" applyAlignment="1">
      <alignment vertical="center"/>
    </xf>
    <xf numFmtId="176" fontId="8" fillId="0" borderId="0" xfId="3" applyNumberFormat="1" applyFont="1" applyAlignment="1">
      <alignment vertical="center"/>
    </xf>
    <xf numFmtId="178" fontId="8" fillId="0" borderId="0" xfId="2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3" borderId="4" xfId="3" applyFont="1" applyFill="1" applyBorder="1" applyAlignment="1">
      <alignment horizontal="center" vertical="center"/>
    </xf>
    <xf numFmtId="0" fontId="1" fillId="3" borderId="1" xfId="3" applyFont="1" applyFill="1" applyBorder="1" applyAlignment="1">
      <alignment horizontal="center" vertical="center"/>
    </xf>
    <xf numFmtId="1" fontId="8" fillId="0" borderId="0" xfId="0" applyNumberFormat="1" applyFont="1" applyAlignment="1">
      <alignment vertical="center"/>
    </xf>
    <xf numFmtId="179" fontId="8" fillId="0" borderId="0" xfId="0" applyNumberFormat="1" applyFont="1" applyAlignment="1">
      <alignment vertical="center"/>
    </xf>
    <xf numFmtId="0" fontId="12" fillId="4" borderId="8" xfId="4" applyFont="1" applyFill="1" applyBorder="1" applyAlignment="1">
      <alignment horizontal="center" vertical="center"/>
    </xf>
    <xf numFmtId="0" fontId="10" fillId="4" borderId="0" xfId="4" applyFont="1" applyFill="1" applyBorder="1" applyAlignment="1">
      <alignment horizontal="left" vertical="center"/>
    </xf>
    <xf numFmtId="0" fontId="10" fillId="4" borderId="9" xfId="4" applyFont="1" applyFill="1" applyBorder="1">
      <alignment vertical="center"/>
    </xf>
    <xf numFmtId="0" fontId="12" fillId="4" borderId="6" xfId="4" applyFont="1" applyFill="1" applyBorder="1" applyAlignment="1">
      <alignment horizontal="center" vertical="center"/>
    </xf>
    <xf numFmtId="0" fontId="10" fillId="4" borderId="7" xfId="4" applyFont="1" applyFill="1" applyBorder="1" applyAlignment="1">
      <alignment horizontal="left" vertical="center"/>
    </xf>
    <xf numFmtId="0" fontId="10" fillId="4" borderId="10" xfId="4" applyFont="1" applyFill="1" applyBorder="1">
      <alignment vertical="center"/>
    </xf>
    <xf numFmtId="0" fontId="16" fillId="8" borderId="14" xfId="0" applyFont="1" applyFill="1" applyBorder="1" applyAlignment="1">
      <alignment horizontal="center" vertical="center" wrapText="1"/>
    </xf>
    <xf numFmtId="0" fontId="15" fillId="8" borderId="15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26" fillId="8" borderId="15" xfId="0" applyFont="1" applyFill="1" applyBorder="1" applyAlignment="1">
      <alignment horizontal="center" vertical="center" wrapText="1"/>
    </xf>
    <xf numFmtId="0" fontId="28" fillId="8" borderId="15" xfId="0" applyFont="1" applyFill="1" applyBorder="1" applyAlignment="1">
      <alignment horizontal="center" vertical="center" wrapText="1"/>
    </xf>
    <xf numFmtId="0" fontId="28" fillId="8" borderId="16" xfId="0" applyFont="1" applyFill="1" applyBorder="1" applyAlignment="1">
      <alignment horizontal="center" vertical="center" wrapText="1"/>
    </xf>
    <xf numFmtId="0" fontId="39" fillId="9" borderId="11" xfId="3" applyFont="1" applyFill="1" applyBorder="1" applyAlignment="1">
      <alignment vertical="center"/>
    </xf>
    <xf numFmtId="0" fontId="39" fillId="9" borderId="12" xfId="3" applyFont="1" applyFill="1" applyBorder="1" applyAlignment="1">
      <alignment vertical="center"/>
    </xf>
    <xf numFmtId="179" fontId="39" fillId="9" borderId="12" xfId="3" applyNumberFormat="1" applyFont="1" applyFill="1" applyBorder="1" applyAlignment="1">
      <alignment vertical="center"/>
    </xf>
    <xf numFmtId="180" fontId="1" fillId="3" borderId="2" xfId="2" applyNumberFormat="1" applyFont="1" applyFill="1" applyBorder="1" applyAlignment="1">
      <alignment vertical="center"/>
    </xf>
    <xf numFmtId="180" fontId="1" fillId="3" borderId="5" xfId="2" applyNumberFormat="1" applyFont="1" applyFill="1" applyBorder="1" applyAlignment="1">
      <alignment vertical="center"/>
    </xf>
    <xf numFmtId="179" fontId="1" fillId="0" borderId="3" xfId="2" applyNumberFormat="1" applyFont="1" applyFill="1" applyBorder="1" applyAlignment="1">
      <alignment vertical="center"/>
    </xf>
    <xf numFmtId="0" fontId="42" fillId="0" borderId="0" xfId="1" applyFont="1" applyAlignment="1" applyProtection="1">
      <alignment vertical="center"/>
    </xf>
    <xf numFmtId="180" fontId="8" fillId="0" borderId="0" xfId="3" applyNumberFormat="1" applyFont="1" applyAlignment="1">
      <alignment vertical="center"/>
    </xf>
    <xf numFmtId="0" fontId="44" fillId="0" borderId="8" xfId="0" applyFont="1" applyBorder="1" applyAlignment="1">
      <alignment horizontal="left" vertical="center"/>
    </xf>
    <xf numFmtId="182" fontId="46" fillId="10" borderId="5" xfId="0" applyNumberFormat="1" applyFont="1" applyFill="1" applyBorder="1" applyAlignment="1">
      <alignment horizontal="left" vertical="center" wrapText="1"/>
    </xf>
    <xf numFmtId="0" fontId="46" fillId="10" borderId="2" xfId="0" applyFont="1" applyFill="1" applyBorder="1" applyAlignment="1">
      <alignment horizontal="left" vertical="center" wrapText="1"/>
    </xf>
    <xf numFmtId="0" fontId="46" fillId="10" borderId="5" xfId="0" applyFont="1" applyFill="1" applyBorder="1" applyAlignment="1">
      <alignment horizontal="left" vertical="center" wrapText="1"/>
    </xf>
    <xf numFmtId="183" fontId="47" fillId="10" borderId="5" xfId="0" applyNumberFormat="1" applyFont="1" applyFill="1" applyBorder="1" applyAlignment="1">
      <alignment horizontal="center" vertical="center"/>
    </xf>
    <xf numFmtId="184" fontId="47" fillId="10" borderId="5" xfId="0" applyNumberFormat="1" applyFont="1" applyFill="1" applyBorder="1" applyAlignment="1">
      <alignment horizontal="center" vertical="center"/>
    </xf>
    <xf numFmtId="179" fontId="1" fillId="0" borderId="19" xfId="2" applyNumberFormat="1" applyFont="1" applyFill="1" applyBorder="1" applyAlignment="1">
      <alignment vertical="center"/>
    </xf>
    <xf numFmtId="182" fontId="46" fillId="10" borderId="2" xfId="0" applyNumberFormat="1" applyFont="1" applyFill="1" applyBorder="1" applyAlignment="1">
      <alignment horizontal="left" vertical="center" wrapText="1"/>
    </xf>
    <xf numFmtId="183" fontId="47" fillId="10" borderId="2" xfId="0" applyNumberFormat="1" applyFont="1" applyFill="1" applyBorder="1" applyAlignment="1">
      <alignment horizontal="center" vertical="center"/>
    </xf>
    <xf numFmtId="179" fontId="41" fillId="0" borderId="18" xfId="2" applyNumberFormat="1" applyFont="1" applyFill="1" applyBorder="1" applyAlignment="1">
      <alignment vertical="center"/>
    </xf>
    <xf numFmtId="180" fontId="1" fillId="0" borderId="2" xfId="2" applyNumberFormat="1" applyFont="1" applyFill="1" applyBorder="1" applyAlignment="1">
      <alignment vertical="center"/>
    </xf>
    <xf numFmtId="9" fontId="8" fillId="0" borderId="0" xfId="8" applyFont="1" applyAlignment="1">
      <alignment vertical="center"/>
    </xf>
    <xf numFmtId="176" fontId="50" fillId="0" borderId="0" xfId="3" applyNumberFormat="1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50" fillId="0" borderId="0" xfId="3" applyFont="1" applyAlignment="1">
      <alignment horizontal="center" vertical="center"/>
    </xf>
    <xf numFmtId="176" fontId="8" fillId="0" borderId="0" xfId="3" applyNumberFormat="1" applyFont="1" applyAlignment="1">
      <alignment horizontal="right" vertical="center"/>
    </xf>
    <xf numFmtId="9" fontId="8" fillId="0" borderId="0" xfId="8" applyFont="1" applyAlignment="1">
      <alignment horizontal="right" vertical="center"/>
    </xf>
    <xf numFmtId="44" fontId="8" fillId="0" borderId="0" xfId="3" applyNumberFormat="1" applyFont="1" applyAlignment="1">
      <alignment horizontal="right" vertical="center"/>
    </xf>
    <xf numFmtId="178" fontId="30" fillId="3" borderId="2" xfId="0" applyNumberFormat="1" applyFont="1" applyFill="1" applyBorder="1" applyAlignment="1">
      <alignment horizontal="left" vertical="center" wrapText="1"/>
    </xf>
    <xf numFmtId="0" fontId="30" fillId="3" borderId="2" xfId="0" applyFont="1" applyFill="1" applyBorder="1" applyAlignment="1">
      <alignment horizontal="left" vertical="center" wrapText="1"/>
    </xf>
    <xf numFmtId="49" fontId="30" fillId="3" borderId="2" xfId="0" applyNumberFormat="1" applyFont="1" applyFill="1" applyBorder="1" applyAlignment="1">
      <alignment horizontal="left" vertical="center" wrapText="1"/>
    </xf>
    <xf numFmtId="185" fontId="30" fillId="3" borderId="2" xfId="5" applyNumberFormat="1" applyFont="1" applyFill="1" applyBorder="1" applyAlignment="1">
      <alignment horizontal="center" vertical="center"/>
    </xf>
    <xf numFmtId="180" fontId="30" fillId="3" borderId="2" xfId="2" applyNumberFormat="1" applyFont="1" applyFill="1" applyBorder="1" applyAlignment="1">
      <alignment vertical="center"/>
    </xf>
    <xf numFmtId="0" fontId="54" fillId="4" borderId="20" xfId="0" applyFont="1" applyFill="1" applyBorder="1" applyAlignment="1">
      <alignment horizontal="center" vertical="center"/>
    </xf>
    <xf numFmtId="25" fontId="41" fillId="0" borderId="20" xfId="0" applyNumberFormat="1" applyFont="1" applyBorder="1" applyAlignment="1">
      <alignment vertical="center"/>
    </xf>
    <xf numFmtId="0" fontId="10" fillId="4" borderId="25" xfId="4" applyFont="1" applyFill="1" applyBorder="1" applyAlignment="1">
      <alignment horizontal="left" vertical="center"/>
    </xf>
    <xf numFmtId="0" fontId="18" fillId="4" borderId="28" xfId="4" applyFont="1" applyFill="1" applyBorder="1" applyAlignment="1">
      <alignment horizontal="left" vertical="center" wrapText="1"/>
    </xf>
    <xf numFmtId="0" fontId="54" fillId="4" borderId="17" xfId="0" applyFont="1" applyFill="1" applyBorder="1" applyAlignment="1">
      <alignment horizontal="center" vertical="center"/>
    </xf>
    <xf numFmtId="25" fontId="41" fillId="0" borderId="17" xfId="0" applyNumberFormat="1" applyFont="1" applyBorder="1" applyAlignment="1">
      <alignment vertical="center"/>
    </xf>
    <xf numFmtId="179" fontId="41" fillId="0" borderId="29" xfId="2" applyNumberFormat="1" applyFont="1" applyFill="1" applyBorder="1" applyAlignment="1">
      <alignment vertical="center"/>
    </xf>
    <xf numFmtId="0" fontId="50" fillId="0" borderId="0" xfId="0" applyFont="1" applyAlignment="1">
      <alignment vertical="center"/>
    </xf>
    <xf numFmtId="25" fontId="8" fillId="0" borderId="0" xfId="0" applyNumberFormat="1" applyFont="1" applyAlignment="1">
      <alignment vertical="center"/>
    </xf>
    <xf numFmtId="0" fontId="58" fillId="4" borderId="24" xfId="4" applyFont="1" applyFill="1" applyBorder="1" applyAlignment="1">
      <alignment horizontal="left" vertical="center"/>
    </xf>
    <xf numFmtId="0" fontId="53" fillId="4" borderId="24" xfId="4" applyFont="1" applyFill="1" applyBorder="1" applyAlignment="1">
      <alignment horizontal="left" vertical="center"/>
    </xf>
    <xf numFmtId="0" fontId="53" fillId="4" borderId="25" xfId="4" applyFont="1" applyFill="1" applyBorder="1" applyAlignment="1">
      <alignment horizontal="left" vertical="center"/>
    </xf>
    <xf numFmtId="0" fontId="53" fillId="4" borderId="28" xfId="4" applyFont="1" applyFill="1" applyBorder="1" applyAlignment="1">
      <alignment horizontal="left" vertical="center"/>
    </xf>
    <xf numFmtId="0" fontId="62" fillId="4" borderId="8" xfId="4" applyFont="1" applyFill="1" applyBorder="1" applyAlignment="1">
      <alignment horizontal="left" vertical="top"/>
    </xf>
    <xf numFmtId="0" fontId="64" fillId="4" borderId="0" xfId="4" applyFont="1" applyFill="1" applyBorder="1" applyAlignment="1">
      <alignment horizontal="left" vertical="top"/>
    </xf>
    <xf numFmtId="0" fontId="64" fillId="4" borderId="9" xfId="4" applyFont="1" applyFill="1" applyBorder="1" applyAlignment="1">
      <alignment horizontal="left" vertical="top"/>
    </xf>
    <xf numFmtId="0" fontId="53" fillId="4" borderId="8" xfId="4" applyFont="1" applyFill="1" applyBorder="1" applyAlignment="1">
      <alignment horizontal="left" vertical="center" wrapText="1"/>
    </xf>
    <xf numFmtId="0" fontId="53" fillId="4" borderId="0" xfId="4" applyFont="1" applyFill="1" applyBorder="1" applyAlignment="1">
      <alignment horizontal="left" vertical="center" wrapText="1"/>
    </xf>
    <xf numFmtId="0" fontId="53" fillId="4" borderId="9" xfId="4" applyFont="1" applyFill="1" applyBorder="1" applyAlignment="1">
      <alignment horizontal="left" vertical="center" wrapText="1"/>
    </xf>
    <xf numFmtId="0" fontId="57" fillId="4" borderId="7" xfId="4" applyFont="1" applyFill="1" applyBorder="1" applyAlignment="1">
      <alignment horizontal="left" vertical="center" wrapText="1"/>
    </xf>
    <xf numFmtId="0" fontId="57" fillId="4" borderId="10" xfId="4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0" fillId="5" borderId="8" xfId="4" applyFont="1" applyFill="1" applyBorder="1" applyAlignment="1">
      <alignment horizontal="center" vertical="center"/>
    </xf>
    <xf numFmtId="0" fontId="20" fillId="5" borderId="0" xfId="4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3" fillId="6" borderId="0" xfId="4" applyFont="1" applyFill="1" applyBorder="1" applyAlignment="1">
      <alignment horizontal="center" vertical="center" wrapText="1"/>
    </xf>
    <xf numFmtId="0" fontId="33" fillId="7" borderId="0" xfId="4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21" fillId="0" borderId="0" xfId="1" applyFont="1" applyAlignment="1" applyProtection="1">
      <alignment horizontal="left"/>
    </xf>
    <xf numFmtId="0" fontId="70" fillId="4" borderId="6" xfId="4" applyFont="1" applyFill="1" applyBorder="1" applyAlignment="1">
      <alignment horizontal="left" vertical="center" wrapText="1"/>
    </xf>
    <xf numFmtId="186" fontId="39" fillId="9" borderId="13" xfId="3" applyNumberFormat="1" applyFont="1" applyFill="1" applyBorder="1" applyAlignment="1">
      <alignment vertical="center"/>
    </xf>
  </cellXfs>
  <cellStyles count="9">
    <cellStyle name="Normal 3" xfId="7" xr:uid="{58ED7378-7913-4072-9E22-20FE63021CE6}"/>
    <cellStyle name="Normal 3 2" xfId="6" xr:uid="{8A0187FC-CFF5-4E94-BC04-01991AF8010E}"/>
    <cellStyle name="一般" xfId="0" builtinId="0"/>
    <cellStyle name="一般 2" xfId="3" xr:uid="{00000000-0005-0000-0000-000020000000}"/>
    <cellStyle name="中等" xfId="4" builtinId="28"/>
    <cellStyle name="千分位[0] 2" xfId="5" xr:uid="{FCC37763-C506-49A2-A96E-C0ABD9F7F2A7}"/>
    <cellStyle name="百分比" xfId="8" builtinId="5"/>
    <cellStyle name="貨幣" xfId="2" builtinId="4"/>
    <cellStyle name="超連結" xfId="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43542</xdr:rowOff>
    </xdr:from>
    <xdr:to>
      <xdr:col>2</xdr:col>
      <xdr:colOff>21772</xdr:colOff>
      <xdr:row>6</xdr:row>
      <xdr:rowOff>23887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44CE47A4-798B-46DF-819C-C65C35E5C390}"/>
            </a:ext>
          </a:extLst>
        </xdr:cNvPr>
        <xdr:cNvGrpSpPr/>
      </xdr:nvGrpSpPr>
      <xdr:grpSpPr>
        <a:xfrm>
          <a:off x="1" y="272142"/>
          <a:ext cx="2676071" cy="1351945"/>
          <a:chOff x="64189" y="336331"/>
          <a:chExt cx="2106197" cy="1066801"/>
        </a:xfrm>
      </xdr:grpSpPr>
      <xdr:pic>
        <xdr:nvPicPr>
          <xdr:cNvPr id="3" name="圖片 2">
            <a:extLst>
              <a:ext uri="{FF2B5EF4-FFF2-40B4-BE49-F238E27FC236}">
                <a16:creationId xmlns:a16="http://schemas.microsoft.com/office/drawing/2014/main" id="{07731E3B-7CA8-54D6-DBA9-EC23C61A4A2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t="10027" b="3604"/>
          <a:stretch>
            <a:fillRect/>
          </a:stretch>
        </xdr:blipFill>
        <xdr:spPr>
          <a:xfrm>
            <a:off x="148270" y="336331"/>
            <a:ext cx="1935405" cy="633741"/>
          </a:xfrm>
          <a:prstGeom prst="rect">
            <a:avLst/>
          </a:prstGeom>
        </xdr:spPr>
      </xdr:pic>
      <xdr:pic>
        <xdr:nvPicPr>
          <xdr:cNvPr id="4" name="圖片 3">
            <a:extLst>
              <a:ext uri="{FF2B5EF4-FFF2-40B4-BE49-F238E27FC236}">
                <a16:creationId xmlns:a16="http://schemas.microsoft.com/office/drawing/2014/main" id="{6571E6B2-66C7-E021-6EE3-3B783F0221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4189" y="945931"/>
            <a:ext cx="2106197" cy="45720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43542</xdr:rowOff>
    </xdr:from>
    <xdr:to>
      <xdr:col>2</xdr:col>
      <xdr:colOff>21772</xdr:colOff>
      <xdr:row>6</xdr:row>
      <xdr:rowOff>23887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A9C99F07-661F-4833-B847-A4F53581D8C9}"/>
            </a:ext>
          </a:extLst>
        </xdr:cNvPr>
        <xdr:cNvGrpSpPr/>
      </xdr:nvGrpSpPr>
      <xdr:grpSpPr>
        <a:xfrm>
          <a:off x="1" y="279069"/>
          <a:ext cx="2584862" cy="1365800"/>
          <a:chOff x="64189" y="336331"/>
          <a:chExt cx="2106197" cy="1066801"/>
        </a:xfrm>
      </xdr:grpSpPr>
      <xdr:pic>
        <xdr:nvPicPr>
          <xdr:cNvPr id="3" name="圖片 2">
            <a:extLst>
              <a:ext uri="{FF2B5EF4-FFF2-40B4-BE49-F238E27FC236}">
                <a16:creationId xmlns:a16="http://schemas.microsoft.com/office/drawing/2014/main" id="{F3D16690-F83A-58D7-3F51-1ABBBB8C36B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t="10027" b="3604"/>
          <a:stretch>
            <a:fillRect/>
          </a:stretch>
        </xdr:blipFill>
        <xdr:spPr>
          <a:xfrm>
            <a:off x="148270" y="336331"/>
            <a:ext cx="1935405" cy="633741"/>
          </a:xfrm>
          <a:prstGeom prst="rect">
            <a:avLst/>
          </a:prstGeom>
        </xdr:spPr>
      </xdr:pic>
      <xdr:pic>
        <xdr:nvPicPr>
          <xdr:cNvPr id="4" name="圖片 3">
            <a:extLst>
              <a:ext uri="{FF2B5EF4-FFF2-40B4-BE49-F238E27FC236}">
                <a16:creationId xmlns:a16="http://schemas.microsoft.com/office/drawing/2014/main" id="{65FD070D-05C4-8653-27F8-BB97F0EF7D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4189" y="945931"/>
            <a:ext cx="2106197" cy="45720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6BC2-FFBD-4211-BF8B-F37E03A435E6}">
  <sheetPr>
    <tabColor theme="8" tint="-0.499984740745262"/>
    <pageSetUpPr fitToPage="1"/>
  </sheetPr>
  <dimension ref="A1:Q44"/>
  <sheetViews>
    <sheetView tabSelected="1" view="pageBreakPreview" topLeftCell="A11" zoomScale="60" zoomScaleNormal="52" workbookViewId="0">
      <selection activeCell="H13" sqref="H13"/>
    </sheetView>
  </sheetViews>
  <sheetFormatPr defaultColWidth="9" defaultRowHeight="15"/>
  <cols>
    <col min="1" max="1" width="5.33203125" style="1" customWidth="1"/>
    <col min="2" max="2" width="33.33203125" style="5" customWidth="1"/>
    <col min="3" max="3" width="30.44140625" style="1" customWidth="1"/>
    <col min="4" max="4" width="52.77734375" style="1" customWidth="1"/>
    <col min="5" max="5" width="27.33203125" style="1" customWidth="1"/>
    <col min="6" max="6" width="24.5546875" style="1" bestFit="1" customWidth="1"/>
    <col min="7" max="7" width="25.33203125" style="1" bestFit="1" customWidth="1"/>
    <col min="8" max="8" width="39.21875" style="1" bestFit="1" customWidth="1"/>
    <col min="9" max="9" width="9" style="1"/>
    <col min="10" max="10" width="21.6640625" style="1" bestFit="1" customWidth="1"/>
    <col min="11" max="11" width="21.6640625" style="1" customWidth="1"/>
    <col min="12" max="12" width="17" style="1" bestFit="1" customWidth="1"/>
    <col min="13" max="13" width="10.6640625" style="1" bestFit="1" customWidth="1"/>
    <col min="14" max="14" width="16" style="1" bestFit="1" customWidth="1"/>
    <col min="15" max="15" width="18.44140625" style="1" bestFit="1" customWidth="1"/>
    <col min="16" max="16" width="9" style="1"/>
    <col min="17" max="17" width="20.44140625" style="1" bestFit="1" customWidth="1"/>
    <col min="18" max="16384" width="9" style="1"/>
  </cols>
  <sheetData>
    <row r="1" spans="1:17" ht="18" customHeight="1">
      <c r="B1" s="2"/>
      <c r="C1" s="101" t="s">
        <v>7</v>
      </c>
      <c r="D1" s="101"/>
      <c r="E1" s="102" t="s">
        <v>6</v>
      </c>
      <c r="F1" s="102"/>
      <c r="G1" s="102"/>
      <c r="H1" s="102"/>
    </row>
    <row r="2" spans="1:17" ht="19.2">
      <c r="A2" s="3"/>
      <c r="B2" s="2"/>
      <c r="C2" s="14" t="s">
        <v>9</v>
      </c>
      <c r="D2" s="16" t="s">
        <v>33</v>
      </c>
      <c r="E2" s="14" t="s">
        <v>9</v>
      </c>
      <c r="F2" s="88" t="s">
        <v>32</v>
      </c>
      <c r="G2" s="88"/>
      <c r="H2" s="88"/>
    </row>
    <row r="3" spans="1:17" ht="19.2">
      <c r="A3" s="3"/>
      <c r="B3" s="2"/>
      <c r="C3" s="14" t="s">
        <v>10</v>
      </c>
      <c r="D3" s="16" t="s">
        <v>17</v>
      </c>
      <c r="E3" s="14" t="s">
        <v>10</v>
      </c>
      <c r="F3" s="103" t="s">
        <v>34</v>
      </c>
      <c r="G3" s="88"/>
    </row>
    <row r="4" spans="1:17" ht="19.2">
      <c r="A4" s="3"/>
      <c r="B4" s="2"/>
      <c r="C4" s="15" t="s">
        <v>11</v>
      </c>
      <c r="D4" s="17" t="s">
        <v>18</v>
      </c>
      <c r="E4" s="15" t="s">
        <v>11</v>
      </c>
      <c r="F4" s="88" t="s">
        <v>35</v>
      </c>
      <c r="G4" s="88"/>
    </row>
    <row r="5" spans="1:17" ht="15.6">
      <c r="A5" s="3"/>
      <c r="B5" s="2"/>
      <c r="C5" s="14" t="s">
        <v>12</v>
      </c>
      <c r="D5" s="16"/>
      <c r="E5" s="14" t="s">
        <v>12</v>
      </c>
      <c r="F5" s="104"/>
      <c r="G5" s="104"/>
    </row>
    <row r="6" spans="1:17" ht="34.799999999999997">
      <c r="A6" s="3"/>
      <c r="B6" s="2"/>
      <c r="C6" s="15" t="s">
        <v>13</v>
      </c>
      <c r="D6" s="18" t="s">
        <v>21</v>
      </c>
      <c r="E6" s="15" t="s">
        <v>13</v>
      </c>
      <c r="F6" s="87" t="s">
        <v>36</v>
      </c>
      <c r="G6" s="87"/>
      <c r="H6" s="87"/>
    </row>
    <row r="7" spans="1:17" ht="15.6">
      <c r="A7" s="3"/>
      <c r="B7" s="2"/>
      <c r="C7" s="14" t="s">
        <v>14</v>
      </c>
      <c r="D7" s="41" t="s">
        <v>20</v>
      </c>
      <c r="E7" s="14" t="s">
        <v>14</v>
      </c>
      <c r="F7" s="88"/>
      <c r="G7" s="88"/>
      <c r="H7" s="88"/>
    </row>
    <row r="8" spans="1:17">
      <c r="B8" s="89"/>
      <c r="C8" s="89"/>
      <c r="D8" s="89"/>
      <c r="E8" s="89"/>
      <c r="F8" s="4"/>
      <c r="G8" s="4"/>
    </row>
    <row r="9" spans="1:17" ht="21.6">
      <c r="A9" s="90" t="s">
        <v>8</v>
      </c>
      <c r="B9" s="91"/>
      <c r="C9" s="91"/>
      <c r="D9" s="91"/>
      <c r="E9" s="91"/>
      <c r="F9" s="91"/>
      <c r="G9" s="91"/>
      <c r="H9" s="91"/>
    </row>
    <row r="10" spans="1:17" ht="16.2" thickBot="1">
      <c r="A10" s="43" t="s">
        <v>22</v>
      </c>
      <c r="B10" s="7"/>
      <c r="C10" s="8"/>
      <c r="D10" s="8"/>
      <c r="E10" s="9"/>
      <c r="F10" s="9"/>
      <c r="G10" s="9"/>
    </row>
    <row r="11" spans="1:17" ht="35.4" thickBot="1">
      <c r="A11" s="29" t="s">
        <v>0</v>
      </c>
      <c r="B11" s="30" t="s">
        <v>2</v>
      </c>
      <c r="C11" s="30" t="s">
        <v>4</v>
      </c>
      <c r="D11" s="30" t="s">
        <v>1</v>
      </c>
      <c r="E11" s="31" t="s">
        <v>3</v>
      </c>
      <c r="F11" s="32" t="s">
        <v>19</v>
      </c>
      <c r="G11" s="33" t="s">
        <v>16</v>
      </c>
      <c r="H11" s="34" t="s">
        <v>15</v>
      </c>
    </row>
    <row r="12" spans="1:17" s="6" customFormat="1" ht="20.399999999999999">
      <c r="A12" s="35" t="s">
        <v>23</v>
      </c>
      <c r="B12" s="36"/>
      <c r="C12" s="36"/>
      <c r="D12" s="36"/>
      <c r="E12" s="36"/>
      <c r="F12" s="37"/>
      <c r="G12" s="37"/>
      <c r="H12" s="106">
        <v>26130</v>
      </c>
      <c r="J12" s="55" t="s">
        <v>39</v>
      </c>
      <c r="K12" s="55" t="s">
        <v>41</v>
      </c>
      <c r="L12" s="56" t="s">
        <v>38</v>
      </c>
      <c r="M12" s="57" t="s">
        <v>40</v>
      </c>
      <c r="N12" s="57" t="s">
        <v>42</v>
      </c>
      <c r="O12" s="57" t="s">
        <v>43</v>
      </c>
    </row>
    <row r="13" spans="1:17" s="6" customFormat="1" ht="138" customHeight="1">
      <c r="A13" s="20">
        <v>1</v>
      </c>
      <c r="B13" s="44" t="s">
        <v>24</v>
      </c>
      <c r="C13" s="45" t="s">
        <v>37</v>
      </c>
      <c r="D13" s="46" t="s">
        <v>25</v>
      </c>
      <c r="E13" s="47">
        <v>18</v>
      </c>
      <c r="F13" s="38">
        <v>350</v>
      </c>
      <c r="G13" s="53">
        <f t="shared" ref="G13" si="0">F13*E13</f>
        <v>6300</v>
      </c>
      <c r="H13" s="40">
        <f>G13*H12</f>
        <v>164619000</v>
      </c>
      <c r="J13" s="58">
        <v>280</v>
      </c>
      <c r="K13" s="59">
        <v>0</v>
      </c>
      <c r="L13" s="60">
        <f>J13*K13</f>
        <v>0</v>
      </c>
      <c r="M13" s="60">
        <f>J13*0.07</f>
        <v>19.600000000000001</v>
      </c>
      <c r="N13" s="60">
        <f>J13+L13+M13</f>
        <v>299.60000000000002</v>
      </c>
      <c r="O13" s="60">
        <f>N13*E13</f>
        <v>5392.8</v>
      </c>
      <c r="Q13" s="42">
        <f>F13*H12</f>
        <v>9145500</v>
      </c>
    </row>
    <row r="14" spans="1:17" s="6" customFormat="1" ht="114.6" customHeight="1">
      <c r="A14" s="20">
        <v>2</v>
      </c>
      <c r="B14" s="44" t="s">
        <v>26</v>
      </c>
      <c r="C14" s="45" t="s">
        <v>27</v>
      </c>
      <c r="D14" s="46" t="s">
        <v>64</v>
      </c>
      <c r="E14" s="48">
        <v>174</v>
      </c>
      <c r="F14" s="38">
        <v>20.5</v>
      </c>
      <c r="G14" s="38">
        <f>F14*E14</f>
        <v>3567</v>
      </c>
      <c r="H14" s="40">
        <f>G14*H12</f>
        <v>93205710</v>
      </c>
      <c r="J14" s="58">
        <v>14</v>
      </c>
      <c r="K14" s="59">
        <v>0.2</v>
      </c>
      <c r="L14" s="60">
        <f t="shared" ref="L14:L19" si="1">J14*K14</f>
        <v>2.8000000000000003</v>
      </c>
      <c r="M14" s="60">
        <f t="shared" ref="M14:M17" si="2">J14*0.07</f>
        <v>0.98000000000000009</v>
      </c>
      <c r="N14" s="60">
        <f t="shared" ref="N14:N17" si="3">J14+L14+M14</f>
        <v>17.78</v>
      </c>
      <c r="O14" s="60">
        <f t="shared" ref="O14:O17" si="4">N14*E14</f>
        <v>3093.7200000000003</v>
      </c>
    </row>
    <row r="15" spans="1:17" s="6" customFormat="1" ht="111.6" customHeight="1">
      <c r="A15" s="19">
        <v>3</v>
      </c>
      <c r="B15" s="44" t="s">
        <v>28</v>
      </c>
      <c r="C15" s="46" t="s">
        <v>27</v>
      </c>
      <c r="D15" s="46" t="s">
        <v>61</v>
      </c>
      <c r="E15" s="48">
        <v>96</v>
      </c>
      <c r="F15" s="39">
        <v>22</v>
      </c>
      <c r="G15" s="38">
        <f>F15*E15</f>
        <v>2112</v>
      </c>
      <c r="H15" s="40">
        <f>G15*H12</f>
        <v>55186560</v>
      </c>
      <c r="J15" s="58">
        <v>15</v>
      </c>
      <c r="K15" s="59">
        <v>0.2</v>
      </c>
      <c r="L15" s="60">
        <f t="shared" si="1"/>
        <v>3</v>
      </c>
      <c r="M15" s="60">
        <f t="shared" si="2"/>
        <v>1.05</v>
      </c>
      <c r="N15" s="60">
        <f t="shared" si="3"/>
        <v>19.05</v>
      </c>
      <c r="O15" s="60">
        <f t="shared" si="4"/>
        <v>1828.8000000000002</v>
      </c>
    </row>
    <row r="16" spans="1:17" s="6" customFormat="1" ht="93" customHeight="1">
      <c r="A16" s="19">
        <v>4</v>
      </c>
      <c r="B16" s="44" t="s">
        <v>29</v>
      </c>
      <c r="C16" s="46" t="s">
        <v>27</v>
      </c>
      <c r="D16" s="46" t="s">
        <v>62</v>
      </c>
      <c r="E16" s="48">
        <v>12</v>
      </c>
      <c r="F16" s="39">
        <v>35</v>
      </c>
      <c r="G16" s="39">
        <f t="shared" ref="G16:G17" si="5">F16*E16</f>
        <v>420</v>
      </c>
      <c r="H16" s="49">
        <f>G16*H12</f>
        <v>10974600</v>
      </c>
      <c r="J16" s="58">
        <v>24</v>
      </c>
      <c r="K16" s="59">
        <v>0.2</v>
      </c>
      <c r="L16" s="60">
        <f t="shared" si="1"/>
        <v>4.8000000000000007</v>
      </c>
      <c r="M16" s="60">
        <f t="shared" si="2"/>
        <v>1.6800000000000002</v>
      </c>
      <c r="N16" s="60">
        <f t="shared" si="3"/>
        <v>30.48</v>
      </c>
      <c r="O16" s="60">
        <f t="shared" si="4"/>
        <v>365.76</v>
      </c>
    </row>
    <row r="17" spans="1:15" s="6" customFormat="1" ht="144" customHeight="1">
      <c r="A17" s="20">
        <v>5</v>
      </c>
      <c r="B17" s="50" t="s">
        <v>30</v>
      </c>
      <c r="C17" s="45" t="s">
        <v>31</v>
      </c>
      <c r="D17" s="45" t="s">
        <v>63</v>
      </c>
      <c r="E17" s="51">
        <v>1</v>
      </c>
      <c r="F17" s="39">
        <v>275</v>
      </c>
      <c r="G17" s="39">
        <f t="shared" si="5"/>
        <v>275</v>
      </c>
      <c r="H17" s="49">
        <f>G17*H12</f>
        <v>7185750</v>
      </c>
      <c r="J17" s="58">
        <v>190</v>
      </c>
      <c r="K17" s="59">
        <v>0.08</v>
      </c>
      <c r="L17" s="60">
        <f t="shared" si="1"/>
        <v>15.200000000000001</v>
      </c>
      <c r="M17" s="60">
        <f t="shared" si="2"/>
        <v>13.3</v>
      </c>
      <c r="N17" s="60">
        <f t="shared" si="3"/>
        <v>218.5</v>
      </c>
      <c r="O17" s="60">
        <f t="shared" si="4"/>
        <v>218.5</v>
      </c>
    </row>
    <row r="18" spans="1:15" s="6" customFormat="1" ht="139.19999999999999" customHeight="1">
      <c r="A18" s="20">
        <v>6</v>
      </c>
      <c r="B18" s="61" t="s">
        <v>44</v>
      </c>
      <c r="C18" s="62" t="s">
        <v>46</v>
      </c>
      <c r="D18" s="63" t="s">
        <v>48</v>
      </c>
      <c r="E18" s="64">
        <v>18</v>
      </c>
      <c r="F18" s="65">
        <v>148</v>
      </c>
      <c r="G18" s="39"/>
      <c r="H18" s="49"/>
      <c r="J18" s="12">
        <f>((350000+1250000+1250000)*1.08)/H12</f>
        <v>117.79563719862227</v>
      </c>
      <c r="K18" s="54">
        <v>0.08</v>
      </c>
      <c r="L18" s="60">
        <f t="shared" si="1"/>
        <v>9.4236509758897817</v>
      </c>
      <c r="N18" s="60">
        <f t="shared" ref="N18:N19" si="6">J18+L18+M18</f>
        <v>127.21928817451206</v>
      </c>
      <c r="O18" s="60"/>
    </row>
    <row r="19" spans="1:15" s="6" customFormat="1" ht="139.19999999999999" customHeight="1">
      <c r="A19" s="20">
        <v>7</v>
      </c>
      <c r="B19" s="61" t="s">
        <v>45</v>
      </c>
      <c r="C19" s="62" t="s">
        <v>47</v>
      </c>
      <c r="D19" s="63" t="s">
        <v>49</v>
      </c>
      <c r="E19" s="64">
        <v>18</v>
      </c>
      <c r="F19" s="65">
        <v>177</v>
      </c>
      <c r="G19" s="38"/>
      <c r="H19" s="40"/>
      <c r="J19" s="12">
        <f>((920000+1250000+1250000)*1.08)/H12</f>
        <v>141.35476463834675</v>
      </c>
      <c r="K19" s="54">
        <v>0.08</v>
      </c>
      <c r="L19" s="60">
        <f t="shared" si="1"/>
        <v>11.30838117106774</v>
      </c>
      <c r="N19" s="60">
        <f t="shared" si="6"/>
        <v>152.66314580941449</v>
      </c>
      <c r="O19" s="60"/>
    </row>
    <row r="20" spans="1:15" ht="15.6" customHeight="1" thickBot="1">
      <c r="A20" s="92" t="s">
        <v>5</v>
      </c>
      <c r="B20" s="93"/>
      <c r="C20" s="93"/>
      <c r="D20" s="93"/>
      <c r="E20" s="93"/>
      <c r="F20" s="93"/>
      <c r="G20" s="93"/>
      <c r="H20" s="94"/>
      <c r="N20" s="73" t="s">
        <v>56</v>
      </c>
      <c r="O20" s="74">
        <f>SUM(O13:O19)</f>
        <v>10899.58</v>
      </c>
    </row>
    <row r="21" spans="1:15" ht="40.799999999999997" customHeight="1">
      <c r="A21" s="95"/>
      <c r="B21" s="96"/>
      <c r="C21" s="96"/>
      <c r="D21" s="96"/>
      <c r="E21" s="97"/>
      <c r="F21" s="66" t="s">
        <v>50</v>
      </c>
      <c r="G21" s="67">
        <f>SUM(G13:G19)</f>
        <v>12674</v>
      </c>
      <c r="H21" s="52">
        <f>G21*H12</f>
        <v>331171620</v>
      </c>
      <c r="N21" s="73" t="s">
        <v>57</v>
      </c>
      <c r="O21" s="74">
        <f>G21-O20</f>
        <v>1774.42</v>
      </c>
    </row>
    <row r="22" spans="1:15" ht="40.799999999999997" customHeight="1">
      <c r="A22" s="98"/>
      <c r="B22" s="99"/>
      <c r="C22" s="99"/>
      <c r="D22" s="99"/>
      <c r="E22" s="100"/>
      <c r="F22" s="66" t="s">
        <v>52</v>
      </c>
      <c r="G22" s="67">
        <f>G21*0.08</f>
        <v>1013.9200000000001</v>
      </c>
      <c r="H22" s="52">
        <f>H21*0.08</f>
        <v>26493729.600000001</v>
      </c>
      <c r="N22" s="1" t="s">
        <v>58</v>
      </c>
      <c r="O22" s="54">
        <f>O21/G21</f>
        <v>0.14000473410130979</v>
      </c>
    </row>
    <row r="23" spans="1:15" ht="40.799999999999997" customHeight="1" thickBot="1">
      <c r="A23" s="98"/>
      <c r="B23" s="99"/>
      <c r="C23" s="99"/>
      <c r="D23" s="99"/>
      <c r="E23" s="100"/>
      <c r="F23" s="70" t="s">
        <v>51</v>
      </c>
      <c r="G23" s="71">
        <f>G21*1.08</f>
        <v>13687.92</v>
      </c>
      <c r="H23" s="72">
        <f>H21*1.08</f>
        <v>357665349.60000002</v>
      </c>
    </row>
    <row r="24" spans="1:15" ht="24" customHeight="1">
      <c r="A24" s="75" t="s">
        <v>59</v>
      </c>
      <c r="B24" s="68"/>
      <c r="C24" s="69"/>
      <c r="D24" s="76" t="s">
        <v>53</v>
      </c>
      <c r="E24" s="77"/>
      <c r="F24" s="77"/>
      <c r="G24" s="77"/>
      <c r="H24" s="78"/>
    </row>
    <row r="25" spans="1:15" ht="58.2" customHeight="1">
      <c r="A25" s="79" t="s">
        <v>60</v>
      </c>
      <c r="B25" s="80"/>
      <c r="C25" s="81"/>
      <c r="D25" s="82" t="s">
        <v>54</v>
      </c>
      <c r="E25" s="83"/>
      <c r="F25" s="83"/>
      <c r="G25" s="83"/>
      <c r="H25" s="84"/>
    </row>
    <row r="26" spans="1:15" ht="54" customHeight="1">
      <c r="A26" s="23"/>
      <c r="B26" s="24"/>
      <c r="C26" s="25"/>
      <c r="D26" s="82" t="s">
        <v>55</v>
      </c>
      <c r="E26" s="83"/>
      <c r="F26" s="83"/>
      <c r="G26" s="83"/>
      <c r="H26" s="84"/>
    </row>
    <row r="27" spans="1:15" ht="63.6" customHeight="1" thickBot="1">
      <c r="A27" s="26"/>
      <c r="B27" s="27"/>
      <c r="C27" s="28"/>
      <c r="D27" s="105" t="s">
        <v>73</v>
      </c>
      <c r="E27" s="85"/>
      <c r="F27" s="85"/>
      <c r="G27" s="85"/>
      <c r="H27" s="86"/>
    </row>
    <row r="32" spans="1:15">
      <c r="G32" s="11"/>
    </row>
    <row r="33" spans="6:8">
      <c r="G33" s="10"/>
    </row>
    <row r="34" spans="6:8">
      <c r="G34" s="11"/>
    </row>
    <row r="35" spans="6:8">
      <c r="F35" s="21"/>
      <c r="G35" s="11"/>
    </row>
    <row r="36" spans="6:8">
      <c r="F36" s="22"/>
    </row>
    <row r="37" spans="6:8">
      <c r="F37" s="11"/>
    </row>
    <row r="44" spans="6:8">
      <c r="H44" s="13"/>
    </row>
  </sheetData>
  <mergeCells count="17">
    <mergeCell ref="D27:H27"/>
    <mergeCell ref="F6:H6"/>
    <mergeCell ref="F7:H7"/>
    <mergeCell ref="B8:E8"/>
    <mergeCell ref="A9:H9"/>
    <mergeCell ref="A20:H20"/>
    <mergeCell ref="D24:H24"/>
    <mergeCell ref="A25:C25"/>
    <mergeCell ref="D25:H25"/>
    <mergeCell ref="D26:H26"/>
    <mergeCell ref="F5:G5"/>
    <mergeCell ref="A21:E23"/>
    <mergeCell ref="C1:D1"/>
    <mergeCell ref="E1:H1"/>
    <mergeCell ref="F2:H2"/>
    <mergeCell ref="F3:G3"/>
    <mergeCell ref="F4:G4"/>
  </mergeCells>
  <phoneticPr fontId="7" type="noConversion"/>
  <printOptions horizontalCentered="1"/>
  <pageMargins left="0.5" right="0.5" top="0.5" bottom="0.5" header="0.3" footer="0.3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C18D-7B5C-4FE7-B0EF-62D707F27AAC}">
  <sheetPr>
    <tabColor theme="4" tint="-0.499984740745262"/>
    <pageSetUpPr fitToPage="1"/>
  </sheetPr>
  <dimension ref="A1:R44"/>
  <sheetViews>
    <sheetView view="pageBreakPreview" topLeftCell="A10" zoomScale="55" zoomScaleNormal="70" zoomScaleSheetLayoutView="55" workbookViewId="0">
      <selection activeCell="O14" sqref="O14"/>
    </sheetView>
  </sheetViews>
  <sheetFormatPr defaultColWidth="9" defaultRowHeight="15"/>
  <cols>
    <col min="1" max="1" width="5.33203125" style="1" customWidth="1"/>
    <col min="2" max="2" width="32.109375" style="5" customWidth="1"/>
    <col min="3" max="3" width="27.33203125" style="1" customWidth="1"/>
    <col min="4" max="4" width="52.77734375" style="1" customWidth="1"/>
    <col min="5" max="5" width="27.33203125" style="1" customWidth="1"/>
    <col min="6" max="6" width="24.5546875" style="1" bestFit="1" customWidth="1"/>
    <col min="7" max="7" width="25.33203125" style="1" bestFit="1" customWidth="1"/>
    <col min="8" max="8" width="40.5546875" style="1" bestFit="1" customWidth="1"/>
    <col min="9" max="9" width="9" style="1"/>
    <col min="10" max="10" width="21.6640625" style="1" bestFit="1" customWidth="1"/>
    <col min="11" max="11" width="21.6640625" style="1" customWidth="1"/>
    <col min="12" max="12" width="17" style="1" bestFit="1" customWidth="1"/>
    <col min="13" max="13" width="10.6640625" style="1" bestFit="1" customWidth="1"/>
    <col min="14" max="14" width="10.6640625" style="1" customWidth="1"/>
    <col min="15" max="15" width="16" style="1" bestFit="1" customWidth="1"/>
    <col min="16" max="16" width="18.44140625" style="1" bestFit="1" customWidth="1"/>
    <col min="17" max="17" width="9" style="1"/>
    <col min="18" max="18" width="20.44140625" style="1" bestFit="1" customWidth="1"/>
    <col min="19" max="16384" width="9" style="1"/>
  </cols>
  <sheetData>
    <row r="1" spans="1:18" ht="18" customHeight="1">
      <c r="B1" s="2"/>
      <c r="C1" s="101" t="s">
        <v>7</v>
      </c>
      <c r="D1" s="101"/>
      <c r="E1" s="102" t="s">
        <v>6</v>
      </c>
      <c r="F1" s="102"/>
      <c r="G1" s="102"/>
      <c r="H1" s="102"/>
    </row>
    <row r="2" spans="1:18" ht="19.2">
      <c r="A2" s="3"/>
      <c r="B2" s="2"/>
      <c r="C2" s="14" t="s">
        <v>9</v>
      </c>
      <c r="D2" s="16" t="s">
        <v>33</v>
      </c>
      <c r="E2" s="14" t="s">
        <v>9</v>
      </c>
      <c r="F2" s="88" t="s">
        <v>32</v>
      </c>
      <c r="G2" s="88"/>
      <c r="H2" s="88"/>
    </row>
    <row r="3" spans="1:18" ht="19.2">
      <c r="A3" s="3"/>
      <c r="B3" s="2"/>
      <c r="C3" s="14" t="s">
        <v>10</v>
      </c>
      <c r="D3" s="16" t="s">
        <v>17</v>
      </c>
      <c r="E3" s="14" t="s">
        <v>10</v>
      </c>
      <c r="F3" s="103" t="s">
        <v>34</v>
      </c>
      <c r="G3" s="88"/>
    </row>
    <row r="4" spans="1:18" ht="19.2">
      <c r="A4" s="3"/>
      <c r="B4" s="2"/>
      <c r="C4" s="15" t="s">
        <v>11</v>
      </c>
      <c r="D4" s="17" t="s">
        <v>18</v>
      </c>
      <c r="E4" s="15" t="s">
        <v>11</v>
      </c>
      <c r="F4" s="88" t="s">
        <v>35</v>
      </c>
      <c r="G4" s="88"/>
    </row>
    <row r="5" spans="1:18" ht="15.6">
      <c r="A5" s="3"/>
      <c r="B5" s="2"/>
      <c r="C5" s="14" t="s">
        <v>12</v>
      </c>
      <c r="D5" s="16"/>
      <c r="E5" s="14" t="s">
        <v>12</v>
      </c>
      <c r="F5" s="104"/>
      <c r="G5" s="104"/>
    </row>
    <row r="6" spans="1:18" ht="34.799999999999997">
      <c r="A6" s="3"/>
      <c r="B6" s="2"/>
      <c r="C6" s="15" t="s">
        <v>13</v>
      </c>
      <c r="D6" s="18" t="s">
        <v>21</v>
      </c>
      <c r="E6" s="15" t="s">
        <v>13</v>
      </c>
      <c r="F6" s="87" t="s">
        <v>36</v>
      </c>
      <c r="G6" s="87"/>
      <c r="H6" s="87"/>
    </row>
    <row r="7" spans="1:18" ht="15.6">
      <c r="A7" s="3"/>
      <c r="B7" s="2"/>
      <c r="C7" s="14" t="s">
        <v>14</v>
      </c>
      <c r="D7" s="41" t="s">
        <v>20</v>
      </c>
      <c r="E7" s="14" t="s">
        <v>14</v>
      </c>
      <c r="F7" s="88"/>
      <c r="G7" s="88"/>
      <c r="H7" s="88"/>
    </row>
    <row r="8" spans="1:18">
      <c r="B8" s="89"/>
      <c r="C8" s="89"/>
      <c r="D8" s="89"/>
      <c r="E8" s="89"/>
      <c r="F8" s="4"/>
      <c r="G8" s="4"/>
    </row>
    <row r="9" spans="1:18" ht="21.6">
      <c r="A9" s="90" t="s">
        <v>8</v>
      </c>
      <c r="B9" s="91"/>
      <c r="C9" s="91"/>
      <c r="D9" s="91"/>
      <c r="E9" s="91"/>
      <c r="F9" s="91"/>
      <c r="G9" s="91"/>
      <c r="H9" s="91"/>
    </row>
    <row r="10" spans="1:18" ht="16.2" thickBot="1">
      <c r="A10" s="43" t="s">
        <v>22</v>
      </c>
      <c r="B10" s="7"/>
      <c r="C10" s="8"/>
      <c r="D10" s="8"/>
      <c r="E10" s="9"/>
      <c r="F10" s="9"/>
      <c r="G10" s="9"/>
    </row>
    <row r="11" spans="1:18" ht="35.4" thickBot="1">
      <c r="A11" s="29" t="s">
        <v>0</v>
      </c>
      <c r="B11" s="30" t="s">
        <v>2</v>
      </c>
      <c r="C11" s="30" t="s">
        <v>4</v>
      </c>
      <c r="D11" s="30" t="s">
        <v>1</v>
      </c>
      <c r="E11" s="31" t="s">
        <v>3</v>
      </c>
      <c r="F11" s="32" t="s">
        <v>19</v>
      </c>
      <c r="G11" s="33" t="s">
        <v>16</v>
      </c>
      <c r="H11" s="34" t="s">
        <v>15</v>
      </c>
    </row>
    <row r="12" spans="1:18" s="6" customFormat="1" ht="20.399999999999999">
      <c r="A12" s="35" t="s">
        <v>23</v>
      </c>
      <c r="B12" s="36"/>
      <c r="C12" s="36"/>
      <c r="D12" s="36"/>
      <c r="E12" s="36"/>
      <c r="F12" s="37"/>
      <c r="G12" s="37"/>
      <c r="H12" s="106">
        <v>26130</v>
      </c>
      <c r="J12" s="55" t="s">
        <v>39</v>
      </c>
      <c r="K12" s="55" t="s">
        <v>41</v>
      </c>
      <c r="L12" s="56" t="s">
        <v>38</v>
      </c>
      <c r="M12" s="57" t="s">
        <v>40</v>
      </c>
      <c r="N12" s="57" t="s">
        <v>74</v>
      </c>
      <c r="O12" s="57" t="s">
        <v>42</v>
      </c>
      <c r="P12" s="57" t="s">
        <v>43</v>
      </c>
    </row>
    <row r="13" spans="1:18" s="6" customFormat="1" ht="138" customHeight="1">
      <c r="A13" s="20">
        <v>1</v>
      </c>
      <c r="B13" s="44" t="s">
        <v>24</v>
      </c>
      <c r="C13" s="45" t="s">
        <v>37</v>
      </c>
      <c r="D13" s="46" t="s">
        <v>69</v>
      </c>
      <c r="E13" s="47">
        <v>18</v>
      </c>
      <c r="F13" s="38">
        <v>350</v>
      </c>
      <c r="G13" s="53">
        <f t="shared" ref="G13" si="0">F13*E13</f>
        <v>6300</v>
      </c>
      <c r="H13" s="40">
        <f>G13*H12</f>
        <v>164619000</v>
      </c>
      <c r="J13" s="58">
        <v>280</v>
      </c>
      <c r="K13" s="59">
        <v>0</v>
      </c>
      <c r="L13" s="60">
        <f>J13*K13</f>
        <v>0</v>
      </c>
      <c r="M13" s="60">
        <f>J13*0.07</f>
        <v>19.600000000000001</v>
      </c>
      <c r="N13" s="60">
        <f>M13*E13</f>
        <v>352.8</v>
      </c>
      <c r="O13" s="60">
        <f>J13+L13+M13</f>
        <v>299.60000000000002</v>
      </c>
      <c r="P13" s="60">
        <f>O13*E13</f>
        <v>5392.8</v>
      </c>
      <c r="R13" s="42">
        <f>F13*H12</f>
        <v>9145500</v>
      </c>
    </row>
    <row r="14" spans="1:18" s="6" customFormat="1" ht="114.6" customHeight="1">
      <c r="A14" s="20">
        <v>2</v>
      </c>
      <c r="B14" s="44" t="s">
        <v>66</v>
      </c>
      <c r="C14" s="45" t="s">
        <v>65</v>
      </c>
      <c r="D14" s="46" t="s">
        <v>70</v>
      </c>
      <c r="E14" s="48">
        <v>174</v>
      </c>
      <c r="F14" s="38">
        <v>8.8000000000000007</v>
      </c>
      <c r="G14" s="38">
        <f>F14*E14</f>
        <v>1531.2</v>
      </c>
      <c r="H14" s="40">
        <f>G14*H12</f>
        <v>40010256</v>
      </c>
      <c r="J14" s="58">
        <v>6</v>
      </c>
      <c r="K14" s="59">
        <v>0.2</v>
      </c>
      <c r="L14" s="60">
        <f t="shared" ref="L14:L19" si="1">J14*K14</f>
        <v>1.2000000000000002</v>
      </c>
      <c r="M14" s="60">
        <f t="shared" ref="M14:M17" si="2">J14*0.07</f>
        <v>0.42000000000000004</v>
      </c>
      <c r="N14" s="60">
        <f t="shared" ref="N14:N17" si="3">M14*E14</f>
        <v>73.080000000000013</v>
      </c>
      <c r="O14" s="60">
        <f t="shared" ref="O14:O19" si="4">J14+L14+M14</f>
        <v>7.62</v>
      </c>
      <c r="P14" s="60">
        <f t="shared" ref="P14:P17" si="5">O14*E14</f>
        <v>1325.88</v>
      </c>
    </row>
    <row r="15" spans="1:18" s="6" customFormat="1" ht="111.6" customHeight="1">
      <c r="A15" s="19">
        <v>3</v>
      </c>
      <c r="B15" s="44" t="s">
        <v>67</v>
      </c>
      <c r="C15" s="45" t="s">
        <v>65</v>
      </c>
      <c r="D15" s="46" t="s">
        <v>71</v>
      </c>
      <c r="E15" s="48">
        <v>96</v>
      </c>
      <c r="F15" s="39">
        <v>11.8</v>
      </c>
      <c r="G15" s="38">
        <f>F15*E15</f>
        <v>1132.8000000000002</v>
      </c>
      <c r="H15" s="40">
        <f>G15*H12</f>
        <v>29600064.000000004</v>
      </c>
      <c r="J15" s="58">
        <v>8</v>
      </c>
      <c r="K15" s="59">
        <v>0.2</v>
      </c>
      <c r="L15" s="60">
        <f t="shared" si="1"/>
        <v>1.6</v>
      </c>
      <c r="M15" s="60">
        <f t="shared" si="2"/>
        <v>0.56000000000000005</v>
      </c>
      <c r="N15" s="60">
        <f t="shared" si="3"/>
        <v>53.760000000000005</v>
      </c>
      <c r="O15" s="60">
        <f t="shared" si="4"/>
        <v>10.16</v>
      </c>
      <c r="P15" s="60">
        <f t="shared" si="5"/>
        <v>975.36</v>
      </c>
    </row>
    <row r="16" spans="1:18" s="6" customFormat="1" ht="93" customHeight="1">
      <c r="A16" s="19">
        <v>4</v>
      </c>
      <c r="B16" s="44" t="s">
        <v>68</v>
      </c>
      <c r="C16" s="45" t="s">
        <v>65</v>
      </c>
      <c r="D16" s="46" t="s">
        <v>72</v>
      </c>
      <c r="E16" s="48">
        <v>12</v>
      </c>
      <c r="F16" s="39">
        <v>11.8</v>
      </c>
      <c r="G16" s="39">
        <f t="shared" ref="G16:G17" si="6">F16*E16</f>
        <v>141.60000000000002</v>
      </c>
      <c r="H16" s="49">
        <f>G16*H12</f>
        <v>3700008.0000000005</v>
      </c>
      <c r="J16" s="58">
        <v>8</v>
      </c>
      <c r="K16" s="59">
        <v>0.2</v>
      </c>
      <c r="L16" s="60">
        <f t="shared" si="1"/>
        <v>1.6</v>
      </c>
      <c r="M16" s="60">
        <f t="shared" si="2"/>
        <v>0.56000000000000005</v>
      </c>
      <c r="N16" s="60">
        <f t="shared" si="3"/>
        <v>6.7200000000000006</v>
      </c>
      <c r="O16" s="60">
        <f t="shared" si="4"/>
        <v>10.16</v>
      </c>
      <c r="P16" s="60">
        <f t="shared" si="5"/>
        <v>121.92</v>
      </c>
    </row>
    <row r="17" spans="1:16" s="6" customFormat="1" ht="144" customHeight="1">
      <c r="A17" s="20">
        <v>5</v>
      </c>
      <c r="B17" s="50" t="s">
        <v>30</v>
      </c>
      <c r="C17" s="45" t="s">
        <v>31</v>
      </c>
      <c r="D17" s="45" t="s">
        <v>63</v>
      </c>
      <c r="E17" s="51">
        <v>1</v>
      </c>
      <c r="F17" s="39">
        <v>275</v>
      </c>
      <c r="G17" s="39">
        <f t="shared" si="6"/>
        <v>275</v>
      </c>
      <c r="H17" s="49">
        <f>G17*H12</f>
        <v>7185750</v>
      </c>
      <c r="J17" s="58">
        <v>190</v>
      </c>
      <c r="K17" s="59">
        <v>0.08</v>
      </c>
      <c r="L17" s="60">
        <f t="shared" si="1"/>
        <v>15.200000000000001</v>
      </c>
      <c r="M17" s="60">
        <f t="shared" si="2"/>
        <v>13.3</v>
      </c>
      <c r="N17" s="60">
        <f t="shared" si="3"/>
        <v>13.3</v>
      </c>
      <c r="O17" s="60">
        <f t="shared" si="4"/>
        <v>218.5</v>
      </c>
      <c r="P17" s="60">
        <f t="shared" si="5"/>
        <v>218.5</v>
      </c>
    </row>
    <row r="18" spans="1:16" s="6" customFormat="1" ht="139.19999999999999" customHeight="1">
      <c r="A18" s="20">
        <v>6</v>
      </c>
      <c r="B18" s="61" t="s">
        <v>44</v>
      </c>
      <c r="C18" s="62" t="s">
        <v>46</v>
      </c>
      <c r="D18" s="63" t="s">
        <v>48</v>
      </c>
      <c r="E18" s="64">
        <v>18</v>
      </c>
      <c r="F18" s="65">
        <v>148</v>
      </c>
      <c r="G18" s="39"/>
      <c r="H18" s="49"/>
      <c r="J18" s="12">
        <f>((350000+1250000+1250000)*1.08)/H12</f>
        <v>117.79563719862227</v>
      </c>
      <c r="K18" s="54">
        <v>0.08</v>
      </c>
      <c r="L18" s="60">
        <f t="shared" si="1"/>
        <v>9.4236509758897817</v>
      </c>
      <c r="O18" s="60">
        <f t="shared" si="4"/>
        <v>127.21928817451206</v>
      </c>
      <c r="P18" s="60"/>
    </row>
    <row r="19" spans="1:16" s="6" customFormat="1" ht="139.19999999999999" customHeight="1">
      <c r="A19" s="20">
        <v>7</v>
      </c>
      <c r="B19" s="61" t="s">
        <v>45</v>
      </c>
      <c r="C19" s="62" t="s">
        <v>47</v>
      </c>
      <c r="D19" s="63" t="s">
        <v>49</v>
      </c>
      <c r="E19" s="64">
        <v>18</v>
      </c>
      <c r="F19" s="65">
        <v>177</v>
      </c>
      <c r="G19" s="38"/>
      <c r="H19" s="40"/>
      <c r="J19" s="12">
        <f>((920000+1250000+1250000)*1.08)/H12</f>
        <v>141.35476463834675</v>
      </c>
      <c r="K19" s="54">
        <v>0.08</v>
      </c>
      <c r="L19" s="60">
        <f t="shared" si="1"/>
        <v>11.30838117106774</v>
      </c>
      <c r="O19" s="60">
        <f t="shared" si="4"/>
        <v>152.66314580941449</v>
      </c>
      <c r="P19" s="60"/>
    </row>
    <row r="20" spans="1:16" ht="15.6" customHeight="1" thickBot="1">
      <c r="A20" s="92" t="s">
        <v>5</v>
      </c>
      <c r="B20" s="93"/>
      <c r="C20" s="93"/>
      <c r="D20" s="93"/>
      <c r="E20" s="93"/>
      <c r="F20" s="93"/>
      <c r="G20" s="93"/>
      <c r="H20" s="94"/>
      <c r="O20" s="73" t="s">
        <v>56</v>
      </c>
      <c r="P20" s="74">
        <f>SUM(P13:P19)</f>
        <v>8034.46</v>
      </c>
    </row>
    <row r="21" spans="1:16" ht="40.799999999999997" customHeight="1">
      <c r="A21" s="95"/>
      <c r="B21" s="96"/>
      <c r="C21" s="96"/>
      <c r="D21" s="96"/>
      <c r="E21" s="97"/>
      <c r="F21" s="66" t="s">
        <v>50</v>
      </c>
      <c r="G21" s="67">
        <f>SUM(G13:G19)</f>
        <v>9380.6</v>
      </c>
      <c r="H21" s="52">
        <f>G21*H12</f>
        <v>245115078</v>
      </c>
      <c r="O21" s="73" t="s">
        <v>57</v>
      </c>
      <c r="P21" s="74">
        <f>G21-P20</f>
        <v>1346.1400000000003</v>
      </c>
    </row>
    <row r="22" spans="1:16" ht="40.799999999999997" customHeight="1">
      <c r="A22" s="98"/>
      <c r="B22" s="99"/>
      <c r="C22" s="99"/>
      <c r="D22" s="99"/>
      <c r="E22" s="100"/>
      <c r="F22" s="66" t="s">
        <v>52</v>
      </c>
      <c r="G22" s="67">
        <f>G21*0.08</f>
        <v>750.44800000000009</v>
      </c>
      <c r="H22" s="52">
        <f>H21*0.08</f>
        <v>19609206.240000002</v>
      </c>
      <c r="O22" s="1" t="s">
        <v>58</v>
      </c>
      <c r="P22" s="54">
        <f>P21/G21</f>
        <v>0.14350254781144067</v>
      </c>
    </row>
    <row r="23" spans="1:16" ht="40.799999999999997" customHeight="1" thickBot="1">
      <c r="A23" s="98"/>
      <c r="B23" s="99"/>
      <c r="C23" s="99"/>
      <c r="D23" s="99"/>
      <c r="E23" s="100"/>
      <c r="F23" s="70" t="s">
        <v>51</v>
      </c>
      <c r="G23" s="71">
        <f>G21*1.08</f>
        <v>10131.048000000001</v>
      </c>
      <c r="H23" s="72">
        <f>H21*1.08</f>
        <v>264724284.24000001</v>
      </c>
    </row>
    <row r="24" spans="1:16" ht="24" customHeight="1">
      <c r="A24" s="75" t="s">
        <v>59</v>
      </c>
      <c r="B24" s="68"/>
      <c r="C24" s="69"/>
      <c r="D24" s="76" t="s">
        <v>53</v>
      </c>
      <c r="E24" s="77"/>
      <c r="F24" s="77"/>
      <c r="G24" s="77"/>
      <c r="H24" s="78"/>
    </row>
    <row r="25" spans="1:16" ht="58.2" customHeight="1">
      <c r="A25" s="79" t="s">
        <v>60</v>
      </c>
      <c r="B25" s="80"/>
      <c r="C25" s="81"/>
      <c r="D25" s="82" t="s">
        <v>54</v>
      </c>
      <c r="E25" s="83"/>
      <c r="F25" s="83"/>
      <c r="G25" s="83"/>
      <c r="H25" s="84"/>
    </row>
    <row r="26" spans="1:16" ht="54" customHeight="1">
      <c r="A26" s="23"/>
      <c r="B26" s="24"/>
      <c r="C26" s="25"/>
      <c r="D26" s="82" t="s">
        <v>55</v>
      </c>
      <c r="E26" s="83"/>
      <c r="F26" s="83"/>
      <c r="G26" s="83"/>
      <c r="H26" s="84"/>
    </row>
    <row r="27" spans="1:16" ht="63.6" customHeight="1" thickBot="1">
      <c r="A27" s="26"/>
      <c r="B27" s="27"/>
      <c r="C27" s="28"/>
      <c r="D27" s="105" t="s">
        <v>73</v>
      </c>
      <c r="E27" s="85"/>
      <c r="F27" s="85"/>
      <c r="G27" s="85"/>
      <c r="H27" s="86"/>
    </row>
    <row r="32" spans="1:16">
      <c r="G32" s="11"/>
    </row>
    <row r="33" spans="6:8">
      <c r="G33" s="10"/>
    </row>
    <row r="34" spans="6:8">
      <c r="G34" s="11"/>
    </row>
    <row r="35" spans="6:8">
      <c r="F35" s="21"/>
      <c r="G35" s="11"/>
    </row>
    <row r="36" spans="6:8">
      <c r="F36" s="22"/>
    </row>
    <row r="37" spans="6:8">
      <c r="F37" s="11"/>
    </row>
    <row r="44" spans="6:8">
      <c r="H44" s="13"/>
    </row>
  </sheetData>
  <mergeCells count="17">
    <mergeCell ref="F5:G5"/>
    <mergeCell ref="C1:D1"/>
    <mergeCell ref="E1:H1"/>
    <mergeCell ref="F2:H2"/>
    <mergeCell ref="F3:G3"/>
    <mergeCell ref="F4:G4"/>
    <mergeCell ref="D27:H27"/>
    <mergeCell ref="F6:H6"/>
    <mergeCell ref="F7:H7"/>
    <mergeCell ref="B8:E8"/>
    <mergeCell ref="A9:H9"/>
    <mergeCell ref="A20:H20"/>
    <mergeCell ref="A21:E23"/>
    <mergeCell ref="D24:H24"/>
    <mergeCell ref="A25:C25"/>
    <mergeCell ref="D25:H25"/>
    <mergeCell ref="D26:H26"/>
  </mergeCells>
  <phoneticPr fontId="7" type="noConversion"/>
  <printOptions horizontalCentered="1"/>
  <pageMargins left="0.7" right="0.7" top="0.75" bottom="0.75" header="0.3" footer="0.3"/>
  <pageSetup paperSize="9" scale="3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BHT</vt:lpstr>
      <vt:lpstr>BHT2</vt:lpstr>
      <vt:lpstr>BHT!Print_Area</vt:lpstr>
      <vt:lpstr>'BHT2'!Print_Area</vt:lpstr>
    </vt:vector>
  </TitlesOfParts>
  <Company>保安資訊有限公司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eSafe360.com</dc:creator>
  <cp:lastModifiedBy>洋銘資訊</cp:lastModifiedBy>
  <cp:lastPrinted>2026-07-24T08:54:40Z</cp:lastPrinted>
  <dcterms:created xsi:type="dcterms:W3CDTF">2004-05-25T02:02:00Z</dcterms:created>
  <dcterms:modified xsi:type="dcterms:W3CDTF">2026-07-24T08:56:18Z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1028-11.8.2.8378</vt:lpwstr>
  </property>
</Properties>
</file>